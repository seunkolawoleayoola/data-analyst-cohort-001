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yool\OneDrive\Documents\data-analyst-cohort-001\datasets\"/>
    </mc:Choice>
  </mc:AlternateContent>
  <bookViews>
    <workbookView xWindow="0" yWindow="0" windowWidth="19200" windowHeight="6610" activeTab="1"/>
  </bookViews>
  <sheets>
    <sheet name="StudentTable" sheetId="1" r:id="rId1"/>
    <sheet name="Calculator" sheetId="2" r:id="rId2"/>
  </sheets>
  <definedNames>
    <definedName name="Average">StudentTable5[[#Headers],[Average]]</definedName>
    <definedName name="English">StudentTable5[[#Headers],[English]]</definedName>
    <definedName name="Maths">StudentTable5[[#Headers],[Maths]]</definedName>
    <definedName name="Science">StudentTable5[[#Headers],[Science]]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F2" i="2"/>
  <c r="G2" i="2" s="1"/>
  <c r="F3" i="2"/>
  <c r="G3" i="2" s="1"/>
  <c r="F4" i="2"/>
  <c r="G4" i="2" s="1"/>
  <c r="F5" i="2"/>
  <c r="G5" i="2" s="1"/>
  <c r="F6" i="2"/>
  <c r="G6" i="2" s="1"/>
  <c r="F7" i="2"/>
  <c r="G7" i="2" s="1"/>
  <c r="F8" i="2"/>
  <c r="G8" i="2" s="1"/>
  <c r="F9" i="2"/>
  <c r="G9" i="2" s="1"/>
</calcChain>
</file>

<file path=xl/sharedStrings.xml><?xml version="1.0" encoding="utf-8"?>
<sst xmlns="http://schemas.openxmlformats.org/spreadsheetml/2006/main" count="64" uniqueCount="34">
  <si>
    <t>StudentID</t>
  </si>
  <si>
    <t>Name</t>
  </si>
  <si>
    <t>Maths</t>
  </si>
  <si>
    <t>English</t>
  </si>
  <si>
    <t>Science</t>
  </si>
  <si>
    <t>ST01</t>
  </si>
  <si>
    <t>Aisha Rahman</t>
  </si>
  <si>
    <t>ST02</t>
  </si>
  <si>
    <t>Ben Clarke</t>
  </si>
  <si>
    <t>ST03</t>
  </si>
  <si>
    <t>Chioma Obi</t>
  </si>
  <si>
    <t>ST04</t>
  </si>
  <si>
    <t>Diego Flores</t>
  </si>
  <si>
    <t>ST05</t>
  </si>
  <si>
    <t>Emily Park</t>
  </si>
  <si>
    <t>ST06</t>
  </si>
  <si>
    <t>Felix Müller</t>
  </si>
  <si>
    <t>ST07</t>
  </si>
  <si>
    <t>Gabi Santos</t>
  </si>
  <si>
    <t>ST08</t>
  </si>
  <si>
    <t>Henry Osei</t>
  </si>
  <si>
    <t>Email</t>
  </si>
  <si>
    <t>a.rahman@school.ac.uk</t>
  </si>
  <si>
    <t>b.clarke@school.ac.uk</t>
  </si>
  <si>
    <t>c.obi@school.ac.uk</t>
  </si>
  <si>
    <t>d.flores@school.ac.uk</t>
  </si>
  <si>
    <t>e.park@school.ac.uk</t>
  </si>
  <si>
    <t>f.muller@school.ac.uk</t>
  </si>
  <si>
    <t>g.santos@school.ac.uk</t>
  </si>
  <si>
    <t>h.osei@school.ac.uk</t>
  </si>
  <si>
    <t>Average</t>
  </si>
  <si>
    <t>Nested IF</t>
  </si>
  <si>
    <t>COUNTIFS</t>
  </si>
  <si>
    <t>Email 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</si>
</sst>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StudentTable" displayName="StudentTable" ref="A1:E9" totalsRowShown="0">
  <autoFilter ref="A1:E9"/>
  <tableColumns count="5">
    <tableColumn id="1" name="StudentID"/>
    <tableColumn id="2" name="Name"/>
    <tableColumn id="3" name="Maths"/>
    <tableColumn id="4" name="English"/>
    <tableColumn id="5" name="Scie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K1:L9" totalsRowShown="0">
  <autoFilter ref="K1:L9"/>
  <tableColumns count="2">
    <tableColumn id="1" name="StudentID"/>
    <tableColumn id="2" name="Emai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StudentTable5" displayName="StudentTable5" ref="A1:I9" totalsRowShown="0">
  <autoFilter ref="A1:I9"/>
  <tableColumns count="9">
    <tableColumn id="1" name="StudentID"/>
    <tableColumn id="2" name="Name"/>
    <tableColumn id="3" name="Maths"/>
    <tableColumn id="4" name="English"/>
    <tableColumn id="5" name="Science"/>
    <tableColumn id="6" name="Average" dataDxfId="3">
      <calculatedColumnFormula>AVERAGE(C2:E2)</calculatedColumnFormula>
    </tableColumn>
    <tableColumn id="7" name="Nested IF" dataDxfId="2">
      <calculatedColumnFormula>IF(F2&gt;=90,"A",IF(F2&gt;=70,"B",IF(F2&gt;=55,"C","F")))</calculatedColumnFormula>
    </tableColumn>
    <tableColumn id="8" name="COUNTIFS" dataDxfId="1">
      <calculatedColumnFormula>COUNTIFS(C2:C9,"&gt;="&amp;55,D2:D9,"&gt;="&amp;55,E2:E9,"&gt;="&amp;55)</calculatedColumnFormula>
    </tableColumn>
    <tableColumn id="9" name="Email looku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I10" sqref="I10"/>
    </sheetView>
  </sheetViews>
  <sheetFormatPr defaultRowHeight="14.5" x14ac:dyDescent="0.35"/>
  <cols>
    <col min="1" max="1" width="11.36328125" customWidth="1"/>
    <col min="2" max="2" width="13.1796875" customWidth="1"/>
    <col min="5" max="5" width="8.9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78</v>
      </c>
      <c r="D2">
        <v>82</v>
      </c>
      <c r="E2">
        <v>71</v>
      </c>
    </row>
    <row r="3" spans="1:5" x14ac:dyDescent="0.35">
      <c r="A3" t="s">
        <v>7</v>
      </c>
      <c r="B3" t="s">
        <v>8</v>
      </c>
      <c r="C3">
        <v>55</v>
      </c>
      <c r="D3">
        <v>63</v>
      </c>
      <c r="E3">
        <v>48</v>
      </c>
    </row>
    <row r="4" spans="1:5" x14ac:dyDescent="0.35">
      <c r="A4" t="s">
        <v>9</v>
      </c>
      <c r="B4" t="s">
        <v>10</v>
      </c>
      <c r="C4">
        <v>91</v>
      </c>
      <c r="D4">
        <v>88</v>
      </c>
      <c r="E4">
        <v>94</v>
      </c>
    </row>
    <row r="5" spans="1:5" x14ac:dyDescent="0.35">
      <c r="A5" t="s">
        <v>11</v>
      </c>
      <c r="B5" t="s">
        <v>12</v>
      </c>
      <c r="C5">
        <v>42</v>
      </c>
      <c r="D5">
        <v>51</v>
      </c>
      <c r="E5">
        <v>58</v>
      </c>
    </row>
    <row r="6" spans="1:5" x14ac:dyDescent="0.35">
      <c r="A6" t="s">
        <v>13</v>
      </c>
      <c r="B6" t="s">
        <v>14</v>
      </c>
      <c r="C6">
        <v>76</v>
      </c>
      <c r="D6">
        <v>79</v>
      </c>
      <c r="E6">
        <v>83</v>
      </c>
    </row>
    <row r="7" spans="1:5" x14ac:dyDescent="0.35">
      <c r="A7" t="s">
        <v>15</v>
      </c>
      <c r="B7" t="s">
        <v>16</v>
      </c>
      <c r="C7">
        <v>67</v>
      </c>
      <c r="D7">
        <v>72</v>
      </c>
      <c r="E7">
        <v>65</v>
      </c>
    </row>
    <row r="8" spans="1:5" x14ac:dyDescent="0.35">
      <c r="A8" t="s">
        <v>17</v>
      </c>
      <c r="B8" t="s">
        <v>18</v>
      </c>
      <c r="C8">
        <v>88</v>
      </c>
      <c r="D8">
        <v>84</v>
      </c>
      <c r="E8">
        <v>90</v>
      </c>
    </row>
    <row r="9" spans="1:5" x14ac:dyDescent="0.35">
      <c r="A9" t="s">
        <v>19</v>
      </c>
      <c r="B9" t="s">
        <v>20</v>
      </c>
      <c r="C9">
        <v>38</v>
      </c>
      <c r="D9">
        <v>45</v>
      </c>
      <c r="E9">
        <v>42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topLeftCell="C1" workbookViewId="0">
      <selection activeCell="K11" sqref="K11"/>
    </sheetView>
  </sheetViews>
  <sheetFormatPr defaultRowHeight="14.5" x14ac:dyDescent="0.35"/>
  <cols>
    <col min="2" max="2" width="13.81640625" customWidth="1"/>
    <col min="11" max="11" width="11.26953125" customWidth="1"/>
    <col min="12" max="12" width="22.36328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30</v>
      </c>
      <c r="G1" t="s">
        <v>31</v>
      </c>
      <c r="H1" t="s">
        <v>32</v>
      </c>
      <c r="I1" t="s">
        <v>33</v>
      </c>
      <c r="K1" t="s">
        <v>0</v>
      </c>
      <c r="L1" t="s">
        <v>21</v>
      </c>
    </row>
    <row r="2" spans="1:12" x14ac:dyDescent="0.35">
      <c r="A2" t="s">
        <v>5</v>
      </c>
      <c r="B2" t="s">
        <v>6</v>
      </c>
      <c r="C2">
        <v>78</v>
      </c>
      <c r="D2">
        <v>82</v>
      </c>
      <c r="E2">
        <v>71</v>
      </c>
      <c r="F2">
        <f t="shared" ref="F2:F9" si="0">AVERAGE(C2:E2)</f>
        <v>77</v>
      </c>
      <c r="G2" t="str">
        <f t="shared" ref="G2:G9" si="1">IF(F2&gt;=90,"A",IF(F2&gt;=70,"B",IF(F2&gt;=55,"C","F")))</f>
        <v>B</v>
      </c>
      <c r="H2">
        <f t="shared" ref="H2:H9" si="2">COUNTIFS(C2:C9,"&gt;="&amp;55,D2:D9,"&gt;="&amp;55,E2:E9,"&gt;="&amp;55)</f>
        <v>5</v>
      </c>
      <c r="I2" s="1"/>
      <c r="K2" t="s">
        <v>5</v>
      </c>
      <c r="L2" t="s">
        <v>22</v>
      </c>
    </row>
    <row r="3" spans="1:12" x14ac:dyDescent="0.35">
      <c r="A3" t="s">
        <v>7</v>
      </c>
      <c r="B3" t="s">
        <v>8</v>
      </c>
      <c r="C3">
        <v>55</v>
      </c>
      <c r="D3">
        <v>63</v>
      </c>
      <c r="E3">
        <v>48</v>
      </c>
      <c r="F3">
        <f t="shared" si="0"/>
        <v>55.333333333333336</v>
      </c>
      <c r="G3" t="str">
        <f t="shared" si="1"/>
        <v>C</v>
      </c>
      <c r="H3">
        <f t="shared" si="2"/>
        <v>4</v>
      </c>
      <c r="I3" s="1"/>
      <c r="K3" t="s">
        <v>7</v>
      </c>
      <c r="L3" t="s">
        <v>23</v>
      </c>
    </row>
    <row r="4" spans="1:12" x14ac:dyDescent="0.35">
      <c r="A4" t="s">
        <v>9</v>
      </c>
      <c r="B4" t="s">
        <v>10</v>
      </c>
      <c r="C4">
        <v>91</v>
      </c>
      <c r="D4">
        <v>88</v>
      </c>
      <c r="E4">
        <v>94</v>
      </c>
      <c r="F4">
        <f t="shared" si="0"/>
        <v>91</v>
      </c>
      <c r="G4" t="str">
        <f t="shared" si="1"/>
        <v>A</v>
      </c>
      <c r="H4">
        <f t="shared" si="2"/>
        <v>4</v>
      </c>
      <c r="I4" s="1"/>
      <c r="K4" t="s">
        <v>9</v>
      </c>
      <c r="L4" t="s">
        <v>24</v>
      </c>
    </row>
    <row r="5" spans="1:12" x14ac:dyDescent="0.35">
      <c r="A5" t="s">
        <v>11</v>
      </c>
      <c r="B5" t="s">
        <v>12</v>
      </c>
      <c r="C5">
        <v>42</v>
      </c>
      <c r="D5">
        <v>51</v>
      </c>
      <c r="E5">
        <v>58</v>
      </c>
      <c r="F5">
        <f t="shared" si="0"/>
        <v>50.333333333333336</v>
      </c>
      <c r="G5" t="str">
        <f t="shared" si="1"/>
        <v>F</v>
      </c>
      <c r="H5">
        <f t="shared" si="2"/>
        <v>3</v>
      </c>
      <c r="I5" s="1"/>
      <c r="K5" t="s">
        <v>11</v>
      </c>
      <c r="L5" t="s">
        <v>25</v>
      </c>
    </row>
    <row r="6" spans="1:12" x14ac:dyDescent="0.35">
      <c r="A6" t="s">
        <v>13</v>
      </c>
      <c r="B6" t="s">
        <v>14</v>
      </c>
      <c r="C6">
        <v>76</v>
      </c>
      <c r="D6">
        <v>79</v>
      </c>
      <c r="E6">
        <v>83</v>
      </c>
      <c r="F6">
        <f t="shared" si="0"/>
        <v>79.333333333333329</v>
      </c>
      <c r="G6" t="str">
        <f t="shared" si="1"/>
        <v>B</v>
      </c>
      <c r="H6">
        <f t="shared" si="2"/>
        <v>3</v>
      </c>
      <c r="I6" s="1"/>
      <c r="K6" t="s">
        <v>13</v>
      </c>
      <c r="L6" t="s">
        <v>26</v>
      </c>
    </row>
    <row r="7" spans="1:12" x14ac:dyDescent="0.35">
      <c r="A7" t="s">
        <v>15</v>
      </c>
      <c r="B7" t="s">
        <v>16</v>
      </c>
      <c r="C7">
        <v>67</v>
      </c>
      <c r="D7">
        <v>72</v>
      </c>
      <c r="E7">
        <v>65</v>
      </c>
      <c r="F7">
        <f t="shared" si="0"/>
        <v>68</v>
      </c>
      <c r="G7" t="str">
        <f t="shared" si="1"/>
        <v>C</v>
      </c>
      <c r="H7">
        <f t="shared" si="2"/>
        <v>2</v>
      </c>
      <c r="I7" s="1"/>
      <c r="K7" t="s">
        <v>15</v>
      </c>
      <c r="L7" t="s">
        <v>27</v>
      </c>
    </row>
    <row r="8" spans="1:12" x14ac:dyDescent="0.35">
      <c r="A8" t="s">
        <v>17</v>
      </c>
      <c r="B8" t="s">
        <v>18</v>
      </c>
      <c r="C8">
        <v>88</v>
      </c>
      <c r="D8">
        <v>84</v>
      </c>
      <c r="E8">
        <v>90</v>
      </c>
      <c r="F8">
        <f t="shared" si="0"/>
        <v>87.333333333333329</v>
      </c>
      <c r="G8" t="str">
        <f t="shared" si="1"/>
        <v>B</v>
      </c>
      <c r="H8">
        <f t="shared" si="2"/>
        <v>1</v>
      </c>
      <c r="I8" s="1"/>
      <c r="K8" t="s">
        <v>17</v>
      </c>
      <c r="L8" t="s">
        <v>28</v>
      </c>
    </row>
    <row r="9" spans="1:12" x14ac:dyDescent="0.35">
      <c r="A9" t="s">
        <v>19</v>
      </c>
      <c r="B9" t="s">
        <v>20</v>
      </c>
      <c r="C9">
        <v>38</v>
      </c>
      <c r="D9">
        <v>45</v>
      </c>
      <c r="E9">
        <v>42</v>
      </c>
      <c r="F9">
        <f t="shared" si="0"/>
        <v>41.666666666666664</v>
      </c>
      <c r="G9" t="str">
        <f t="shared" si="1"/>
        <v>F</v>
      </c>
      <c r="H9">
        <f t="shared" si="2"/>
        <v>0</v>
      </c>
      <c r="I9" s="1"/>
      <c r="K9" t="s">
        <v>19</v>
      </c>
      <c r="L9" t="s">
        <v>29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StudentTable</vt:lpstr>
      <vt:lpstr>Calculator</vt:lpstr>
      <vt:lpstr>Average</vt:lpstr>
      <vt:lpstr>English</vt:lpstr>
      <vt:lpstr>Maths</vt:lpstr>
      <vt:lpstr>Science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 Ayoola</dc:creator>
  <cp:lastModifiedBy>Seun Ayoola</cp:lastModifiedBy>
  <dcterms:created xsi:type="dcterms:W3CDTF">2026-07-10T17:22:13Z</dcterms:created>
  <dcterms:modified xsi:type="dcterms:W3CDTF">2026-07-11T15:30:00Z</dcterms:modified>
</cp:coreProperties>
</file>