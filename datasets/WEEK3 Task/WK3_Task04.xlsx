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6260" windowHeight="4530" activeTab="2"/>
  </bookViews>
  <sheets>
    <sheet name="CounciltaxTable" sheetId="1" r:id="rId1"/>
    <sheet name="Tracker" sheetId="2" r:id="rId2"/>
    <sheet name="Note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2" i="2"/>
  <c r="D4" i="2"/>
  <c r="F3" i="2" s="1"/>
  <c r="D2" i="2"/>
  <c r="F2" i="2" s="1"/>
  <c r="F4" i="2" l="1"/>
</calcChain>
</file>

<file path=xl/sharedStrings.xml><?xml version="1.0" encoding="utf-8"?>
<sst xmlns="http://schemas.openxmlformats.org/spreadsheetml/2006/main" count="29" uniqueCount="18">
  <si>
    <t>Area</t>
  </si>
  <si>
    <t>Billed £</t>
  </si>
  <si>
    <t>Collected £</t>
  </si>
  <si>
    <t>North Ward</t>
  </si>
  <si>
    <t>South Ward</t>
  </si>
  <si>
    <t>East Ward</t>
  </si>
  <si>
    <t>West Ward</t>
  </si>
  <si>
    <t>Central</t>
  </si>
  <si>
    <t>Riverside</t>
  </si>
  <si>
    <t>Hillside</t>
  </si>
  <si>
    <t>Lakeside</t>
  </si>
  <si>
    <t>Summation</t>
  </si>
  <si>
    <t>Column1</t>
  </si>
  <si>
    <t>Column2</t>
  </si>
  <si>
    <t xml:space="preserve">Summation of both billed and collected rows was find by using =SUM(B2:B2) and (C2:C9) respectively. </t>
  </si>
  <si>
    <t xml:space="preserve">% of collected tax over billed was find and realised that Revierside 97.5% has the highest while  East Ward has the lowest 85%. </t>
  </si>
  <si>
    <t xml:space="preserve">East Ward was flagged for recovery plan. </t>
  </si>
  <si>
    <t xml:space="preserve">Missing values were excluded, so the sample may not represent all customers within the billing area.  (Limitation).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</si>
</sst>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£&quot;#,##0;[Red]\-&quot;£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CounciltaxTable" displayName="CounciltaxTable" ref="A1:F9" totalsRowShown="0">
  <autoFilter ref="A1:F9"/>
  <tableColumns count="6">
    <tableColumn id="1" name="Area"/>
    <tableColumn id="2" name="Billed £"/>
    <tableColumn id="3" name="Collected £"/>
    <tableColumn id="4" name="Summation" dataDxfId="2"/>
    <tableColumn id="5" name="Column1" dataDxfId="0">
      <calculatedColumnFormula>C2/B2*100</calculatedColumnFormula>
    </tableColumn>
    <tableColumn id="6" name="Column2" dataDxfId="1">
      <calculatedColumnFormula>INDEX(A2:A9,MATCH(MIN(D2:D9),D2:D9,0))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85" zoomScaleNormal="85" workbookViewId="0">
      <selection sqref="A1:C9"/>
    </sheetView>
  </sheetViews>
  <sheetFormatPr defaultRowHeight="14.5" x14ac:dyDescent="0.35"/>
  <cols>
    <col min="1" max="1" width="14.90625" customWidth="1"/>
    <col min="2" max="2" width="12" customWidth="1"/>
    <col min="3" max="3" width="14" customWidth="1"/>
    <col min="4" max="4" width="9.72656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 t="s">
        <v>3</v>
      </c>
      <c r="B2">
        <v>5460000</v>
      </c>
      <c r="C2">
        <v>5023200</v>
      </c>
      <c r="D2" s="1"/>
    </row>
    <row r="3" spans="1:4" x14ac:dyDescent="0.35">
      <c r="A3" t="s">
        <v>4</v>
      </c>
      <c r="B3">
        <v>4940000</v>
      </c>
      <c r="C3">
        <v>4693000</v>
      </c>
      <c r="D3" s="1"/>
    </row>
    <row r="4" spans="1:4" x14ac:dyDescent="0.35">
      <c r="A4" t="s">
        <v>5</v>
      </c>
      <c r="B4">
        <v>3770000</v>
      </c>
      <c r="C4">
        <v>3204500</v>
      </c>
      <c r="D4" s="1"/>
    </row>
    <row r="5" spans="1:4" x14ac:dyDescent="0.35">
      <c r="A5" t="s">
        <v>6</v>
      </c>
      <c r="B5">
        <v>6630000</v>
      </c>
      <c r="C5">
        <v>6300000</v>
      </c>
      <c r="D5" s="1"/>
    </row>
    <row r="6" spans="1:4" x14ac:dyDescent="0.35">
      <c r="A6" t="s">
        <v>7</v>
      </c>
      <c r="B6">
        <v>2340000</v>
      </c>
      <c r="C6">
        <v>2011000</v>
      </c>
      <c r="D6" s="1"/>
    </row>
    <row r="7" spans="1:4" x14ac:dyDescent="0.35">
      <c r="A7" t="s">
        <v>8</v>
      </c>
      <c r="B7">
        <v>4160000</v>
      </c>
      <c r="C7">
        <v>4056000</v>
      </c>
      <c r="D7" s="1"/>
    </row>
    <row r="8" spans="1:4" x14ac:dyDescent="0.35">
      <c r="A8" t="s">
        <v>9</v>
      </c>
      <c r="B8">
        <v>3380000</v>
      </c>
      <c r="C8">
        <v>3042000</v>
      </c>
      <c r="D8" s="1"/>
    </row>
    <row r="9" spans="1:4" x14ac:dyDescent="0.35">
      <c r="A9" t="s">
        <v>10</v>
      </c>
      <c r="B9">
        <v>1950000</v>
      </c>
      <c r="C9">
        <v>1852500</v>
      </c>
      <c r="D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11" sqref="B11"/>
    </sheetView>
  </sheetViews>
  <sheetFormatPr defaultRowHeight="14.5" x14ac:dyDescent="0.35"/>
  <cols>
    <col min="1" max="1" width="14.90625" customWidth="1"/>
    <col min="2" max="2" width="14" customWidth="1"/>
    <col min="3" max="3" width="13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11</v>
      </c>
      <c r="E1" t="s">
        <v>12</v>
      </c>
      <c r="F1" t="s">
        <v>13</v>
      </c>
    </row>
    <row r="2" spans="1:6" x14ac:dyDescent="0.35">
      <c r="A2" t="s">
        <v>3</v>
      </c>
      <c r="B2">
        <v>5460000</v>
      </c>
      <c r="C2">
        <v>5023200</v>
      </c>
      <c r="D2">
        <f>SUM(B2:B9)</f>
        <v>32630000</v>
      </c>
      <c r="E2">
        <f t="shared" ref="E2:E9" si="0">C2/B2*100</f>
        <v>92</v>
      </c>
      <c r="F2" t="str">
        <f t="shared" ref="F2:F9" si="1">INDEX(A2:A9,MATCH(MIN(D2:D9),D2:D9,0))</f>
        <v>East Ward</v>
      </c>
    </row>
    <row r="3" spans="1:6" x14ac:dyDescent="0.35">
      <c r="A3" t="s">
        <v>4</v>
      </c>
      <c r="B3">
        <v>4940000</v>
      </c>
      <c r="C3">
        <v>4693000</v>
      </c>
      <c r="E3">
        <f t="shared" si="0"/>
        <v>95</v>
      </c>
      <c r="F3" t="str">
        <f t="shared" si="1"/>
        <v>East Ward</v>
      </c>
    </row>
    <row r="4" spans="1:6" x14ac:dyDescent="0.35">
      <c r="A4" t="s">
        <v>5</v>
      </c>
      <c r="B4">
        <v>3770000</v>
      </c>
      <c r="C4">
        <v>3204500</v>
      </c>
      <c r="D4">
        <f>SUM(C2:C9)</f>
        <v>30182200</v>
      </c>
      <c r="E4">
        <f t="shared" si="0"/>
        <v>85</v>
      </c>
      <c r="F4" t="str">
        <f t="shared" si="1"/>
        <v>East Ward</v>
      </c>
    </row>
    <row r="5" spans="1:6" x14ac:dyDescent="0.35">
      <c r="A5" t="s">
        <v>6</v>
      </c>
      <c r="B5">
        <v>6630000</v>
      </c>
      <c r="C5">
        <v>6300000</v>
      </c>
      <c r="E5">
        <f t="shared" si="0"/>
        <v>95.02262443438913</v>
      </c>
    </row>
    <row r="6" spans="1:6" x14ac:dyDescent="0.35">
      <c r="A6" t="s">
        <v>7</v>
      </c>
      <c r="B6">
        <v>2340000</v>
      </c>
      <c r="C6">
        <v>2011000</v>
      </c>
      <c r="E6">
        <f t="shared" si="0"/>
        <v>85.940170940170944</v>
      </c>
    </row>
    <row r="7" spans="1:6" x14ac:dyDescent="0.35">
      <c r="A7" t="s">
        <v>8</v>
      </c>
      <c r="B7">
        <v>4160000</v>
      </c>
      <c r="C7">
        <v>4056000</v>
      </c>
      <c r="E7">
        <f t="shared" si="0"/>
        <v>97.5</v>
      </c>
    </row>
    <row r="8" spans="1:6" x14ac:dyDescent="0.35">
      <c r="A8" t="s">
        <v>9</v>
      </c>
      <c r="B8">
        <v>3380000</v>
      </c>
      <c r="C8">
        <v>3042000</v>
      </c>
      <c r="E8">
        <f t="shared" si="0"/>
        <v>90</v>
      </c>
    </row>
    <row r="9" spans="1:6" x14ac:dyDescent="0.35">
      <c r="A9" t="s">
        <v>10</v>
      </c>
      <c r="B9">
        <v>1950000</v>
      </c>
      <c r="C9">
        <v>1852500</v>
      </c>
      <c r="E9">
        <f t="shared" si="0"/>
        <v>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C11" sqref="C11"/>
    </sheetView>
  </sheetViews>
  <sheetFormatPr defaultRowHeight="14.5" x14ac:dyDescent="0.35"/>
  <sheetData>
    <row r="1" spans="1:1" x14ac:dyDescent="0.35">
      <c r="A1" t="s">
        <v>14</v>
      </c>
    </row>
    <row r="3" spans="1:1" x14ac:dyDescent="0.35">
      <c r="A3" t="s">
        <v>15</v>
      </c>
    </row>
    <row r="4" spans="1:1" x14ac:dyDescent="0.35">
      <c r="A4" t="s">
        <v>16</v>
      </c>
    </row>
    <row r="6" spans="1:1" x14ac:dyDescent="0.35">
      <c r="A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CounciltaxTable</vt:lpstr>
      <vt:lpstr>Tracker</vt:lpstr>
      <vt:lpstr>Notes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2026-07-18T13:00:40Z</dcterms:created>
  <dcterms:modified xsi:type="dcterms:W3CDTF">2026-07-18T17:45:41Z</dcterms:modified>
</cp:coreProperties>
</file>