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6260" windowHeight="4530" activeTab="2"/>
  </bookViews>
  <sheets>
    <sheet name="DonorTable" sheetId="1" r:id="rId1"/>
    <sheet name="Stage" sheetId="4" r:id="rId2"/>
    <sheet name="Notes" sheetId="3" r:id="rId3"/>
  </sheets>
  <definedNames>
    <definedName name="Amount">#REF!</definedName>
    <definedName name="DonorID">DonorTable[[#Headers],[DonorID]]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4" l="1"/>
  <c r="F14" i="4"/>
  <c r="F15" i="4"/>
  <c r="F16" i="4"/>
  <c r="F17" i="4"/>
  <c r="F18" i="4"/>
  <c r="F12" i="4"/>
  <c r="D13" i="4"/>
  <c r="D14" i="4"/>
  <c r="D15" i="4"/>
  <c r="D16" i="4"/>
  <c r="D17" i="4"/>
  <c r="D18" i="4"/>
  <c r="D12" i="4"/>
  <c r="C13" i="4"/>
  <c r="C14" i="4"/>
  <c r="C15" i="4"/>
  <c r="C16" i="4"/>
  <c r="C17" i="4"/>
  <c r="C18" i="4"/>
  <c r="C12" i="4"/>
  <c r="B13" i="4"/>
  <c r="B14" i="4"/>
  <c r="B15" i="4"/>
  <c r="B16" i="4"/>
  <c r="B17" i="4"/>
  <c r="B18" i="4"/>
  <c r="B12" i="4"/>
  <c r="G2" i="4"/>
  <c r="G3" i="4"/>
  <c r="G4" i="4"/>
  <c r="G5" i="4"/>
  <c r="G6" i="4"/>
  <c r="G7" i="4"/>
  <c r="G8" i="4"/>
</calcChain>
</file>

<file path=xl/sharedStrings.xml><?xml version="1.0" encoding="utf-8"?>
<sst xmlns="http://schemas.openxmlformats.org/spreadsheetml/2006/main" count="68" uniqueCount="35">
  <si>
    <t>DonorID</t>
  </si>
  <si>
    <t>Name</t>
  </si>
  <si>
    <t>Email</t>
  </si>
  <si>
    <t>Phone</t>
  </si>
  <si>
    <t>DonationDate</t>
  </si>
  <si>
    <t>Amount</t>
  </si>
  <si>
    <t>D001</t>
  </si>
  <si>
    <t>ALICE MORGAN</t>
  </si>
  <si>
    <t>alice.morgan@email.com</t>
  </si>
  <si>
    <t>D002</t>
  </si>
  <si>
    <t>bob harris</t>
  </si>
  <si>
    <t>BOB.HARRIS@EMAIL.COM</t>
  </si>
  <si>
    <t>07700 900002</t>
  </si>
  <si>
    <t>D003</t>
  </si>
  <si>
    <t>Carol White</t>
  </si>
  <si>
    <t>carol.white@email.com</t>
  </si>
  <si>
    <t>D004</t>
  </si>
  <si>
    <t>DAVID CHEN</t>
  </si>
  <si>
    <t>d.chen@email.com</t>
  </si>
  <si>
    <t>D005</t>
  </si>
  <si>
    <t>eve johnson</t>
  </si>
  <si>
    <t>eve.johnson@email.com</t>
  </si>
  <si>
    <t>5th May 2024</t>
  </si>
  <si>
    <t>D006</t>
  </si>
  <si>
    <t>Frank PATEL</t>
  </si>
  <si>
    <t>frank.patel@email.com</t>
  </si>
  <si>
    <t>D007</t>
  </si>
  <si>
    <t>Grace OBI</t>
  </si>
  <si>
    <t>grace.obi@email.com</t>
  </si>
  <si>
    <t>COUNT</t>
  </si>
  <si>
    <t xml:space="preserve">Corrected the inconsistent in capitalization on Name using =TRIME(PROPER(B2)). </t>
  </si>
  <si>
    <t xml:space="preserve">Corrected the inconsistent in capitalization on Name using =LOWER(TRIM(C2)). </t>
  </si>
  <si>
    <t xml:space="preserve">Used =SUBSTITUTE(D2," ", "") to correct the inconsistence in phone numbers. </t>
  </si>
  <si>
    <t xml:space="preserve">The output verification shows Count: 7, SUM: 630 and AVERAGE: 90. </t>
  </si>
  <si>
    <t>Used COUNTIF to counted the value of data I have in DonorID row, identify there are duplicate and duplicated data was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</si>
</sst>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£&quot;#,##0;[Red]\-&quot;£&quot;#,##0"/>
    <numFmt numFmtId="8" formatCode="&quot;£&quot;#,##0.00;[Red]\-&quot;£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8" fontId="0" fillId="0" borderId="0" xfId="0" applyNumberFormat="1"/>
    <xf numFmtId="14" fontId="0" fillId="0" borderId="0" xfId="0" applyNumberFormat="1"/>
    <xf numFmtId="6" fontId="0" fillId="0" borderId="0" xfId="0" applyNumberFormat="1"/>
    <xf numFmtId="14" fontId="0" fillId="0" borderId="1" xfId="0" applyNumberFormat="1" applyFont="1" applyBorder="1"/>
    <xf numFmtId="14" fontId="0" fillId="2" borderId="1" xfId="0" applyNumberFormat="1" applyFont="1" applyFill="1" applyBorder="1"/>
  </cellXfs>
  <cellStyles count="1">
    <cellStyle name="Normal" xfId="0" builtinId="0"/>
  </cellStyles>
  <dxfs count="3">
    <dxf>
      <numFmt numFmtId="0" formatCode="General"/>
    </dxf>
    <dxf>
      <numFmt numFmtId="12" formatCode="&quot;£&quot;#,##0.00;[Red]\-&quot;£&quot;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DonorTable" displayName="DonorTable" ref="A1:G8" totalsRowShown="0">
  <autoFilter ref="A1:G8"/>
  <tableColumns count="7">
    <tableColumn id="1" name="DonorID"/>
    <tableColumn id="2" name="Name"/>
    <tableColumn id="3" name="Email"/>
    <tableColumn id="4" name="Phone"/>
    <tableColumn id="5" name="DonationDate" dataDxfId="2"/>
    <tableColumn id="6" name="Amount" dataDxfId="1"/>
    <tableColumn id="7" name="COUNT" dataDxfId="0">
      <calculatedColumnFormula>COUNTIF(DonorTable[DonorID],(A2))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opLeftCell="D1" workbookViewId="0">
      <selection sqref="A1:F9"/>
    </sheetView>
  </sheetViews>
  <sheetFormatPr defaultRowHeight="14.5" x14ac:dyDescent="0.35"/>
  <cols>
    <col min="2" max="2" width="18.54296875" customWidth="1"/>
    <col min="3" max="3" width="25.1796875" customWidth="1"/>
    <col min="4" max="4" width="20.54296875" customWidth="1"/>
    <col min="5" max="5" width="22.08984375" customWidth="1"/>
    <col min="6" max="6" width="15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7700900001</v>
      </c>
      <c r="E2" s="1">
        <v>45303</v>
      </c>
      <c r="F2" s="2">
        <v>50</v>
      </c>
    </row>
    <row r="3" spans="1:6" x14ac:dyDescent="0.35">
      <c r="A3" t="s">
        <v>9</v>
      </c>
      <c r="B3" t="s">
        <v>10</v>
      </c>
      <c r="C3" t="s">
        <v>11</v>
      </c>
      <c r="D3" t="s">
        <v>12</v>
      </c>
      <c r="E3" s="3">
        <v>45325</v>
      </c>
      <c r="F3" s="4">
        <v>25</v>
      </c>
    </row>
    <row r="4" spans="1:6" x14ac:dyDescent="0.35">
      <c r="A4" t="s">
        <v>13</v>
      </c>
      <c r="B4" t="s">
        <v>14</v>
      </c>
      <c r="C4" t="s">
        <v>15</v>
      </c>
      <c r="D4">
        <v>7700900003</v>
      </c>
      <c r="E4" s="1">
        <v>45366</v>
      </c>
      <c r="F4" s="4">
        <v>100</v>
      </c>
    </row>
    <row r="5" spans="1:6" x14ac:dyDescent="0.35">
      <c r="A5" t="s">
        <v>9</v>
      </c>
      <c r="B5" t="s">
        <v>10</v>
      </c>
      <c r="C5" t="s">
        <v>11</v>
      </c>
      <c r="D5" t="s">
        <v>12</v>
      </c>
      <c r="E5" s="3">
        <v>45325</v>
      </c>
      <c r="F5" s="4">
        <v>25</v>
      </c>
    </row>
    <row r="6" spans="1:6" x14ac:dyDescent="0.35">
      <c r="A6" t="s">
        <v>16</v>
      </c>
      <c r="B6" t="s">
        <v>17</v>
      </c>
      <c r="C6" t="s">
        <v>18</v>
      </c>
      <c r="D6">
        <v>7700900004</v>
      </c>
      <c r="E6" s="3">
        <v>45383</v>
      </c>
      <c r="F6" s="2">
        <v>75</v>
      </c>
    </row>
    <row r="7" spans="1:6" x14ac:dyDescent="0.35">
      <c r="A7" t="s">
        <v>19</v>
      </c>
      <c r="B7" t="s">
        <v>20</v>
      </c>
      <c r="C7" t="s">
        <v>21</v>
      </c>
      <c r="D7">
        <v>7700900005</v>
      </c>
      <c r="E7" t="s">
        <v>22</v>
      </c>
      <c r="F7" s="4">
        <v>200</v>
      </c>
    </row>
    <row r="8" spans="1:6" x14ac:dyDescent="0.35">
      <c r="A8" t="s">
        <v>23</v>
      </c>
      <c r="B8" t="s">
        <v>24</v>
      </c>
      <c r="C8" t="s">
        <v>25</v>
      </c>
      <c r="D8">
        <v>7700900006</v>
      </c>
      <c r="E8" s="1">
        <v>45463</v>
      </c>
      <c r="F8" s="2">
        <v>30</v>
      </c>
    </row>
    <row r="9" spans="1:6" x14ac:dyDescent="0.35">
      <c r="A9" t="s">
        <v>26</v>
      </c>
      <c r="B9" t="s">
        <v>27</v>
      </c>
      <c r="C9" t="s">
        <v>28</v>
      </c>
      <c r="D9">
        <v>7700900007</v>
      </c>
      <c r="E9" s="3">
        <v>45480</v>
      </c>
      <c r="F9" s="2">
        <v>150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D1" workbookViewId="0">
      <selection activeCell="F12" sqref="F12:F18"/>
    </sheetView>
  </sheetViews>
  <sheetFormatPr defaultRowHeight="14.5" x14ac:dyDescent="0.35"/>
  <cols>
    <col min="1" max="1" width="9.90625" customWidth="1"/>
    <col min="2" max="2" width="18" customWidth="1"/>
    <col min="3" max="3" width="25" customWidth="1"/>
    <col min="4" max="4" width="16.36328125" customWidth="1"/>
    <col min="5" max="5" width="14.6328125" customWidth="1"/>
    <col min="6" max="6" width="1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</row>
    <row r="2" spans="1:7" x14ac:dyDescent="0.35">
      <c r="A2" t="s">
        <v>6</v>
      </c>
      <c r="B2" t="s">
        <v>7</v>
      </c>
      <c r="C2" t="s">
        <v>8</v>
      </c>
      <c r="D2">
        <v>7700900001</v>
      </c>
      <c r="E2" s="1">
        <v>45303</v>
      </c>
      <c r="F2" s="2">
        <v>50</v>
      </c>
      <c r="G2">
        <f>COUNTIF(DonorTable[DonorID],(A2))</f>
        <v>1</v>
      </c>
    </row>
    <row r="3" spans="1:7" x14ac:dyDescent="0.35">
      <c r="A3" t="s">
        <v>9</v>
      </c>
      <c r="B3" t="s">
        <v>10</v>
      </c>
      <c r="C3" t="s">
        <v>11</v>
      </c>
      <c r="D3" t="s">
        <v>12</v>
      </c>
      <c r="E3" s="3">
        <v>45325</v>
      </c>
      <c r="F3" s="4">
        <v>25</v>
      </c>
      <c r="G3">
        <f>COUNTIF(DonorTable[DonorID],(A3))</f>
        <v>1</v>
      </c>
    </row>
    <row r="4" spans="1:7" x14ac:dyDescent="0.35">
      <c r="A4" t="s">
        <v>13</v>
      </c>
      <c r="B4" t="s">
        <v>14</v>
      </c>
      <c r="C4" t="s">
        <v>15</v>
      </c>
      <c r="D4">
        <v>7700900003</v>
      </c>
      <c r="E4" s="1">
        <v>45366</v>
      </c>
      <c r="F4" s="4">
        <v>100</v>
      </c>
      <c r="G4">
        <f>COUNTIF(DonorTable[DonorID],(A4))</f>
        <v>1</v>
      </c>
    </row>
    <row r="5" spans="1:7" x14ac:dyDescent="0.35">
      <c r="A5" t="s">
        <v>16</v>
      </c>
      <c r="B5" t="s">
        <v>17</v>
      </c>
      <c r="C5" t="s">
        <v>18</v>
      </c>
      <c r="D5">
        <v>7700900004</v>
      </c>
      <c r="E5" s="3">
        <v>45383</v>
      </c>
      <c r="F5" s="2">
        <v>75</v>
      </c>
      <c r="G5">
        <f>COUNTIF(DonorTable[DonorID],(A5))</f>
        <v>1</v>
      </c>
    </row>
    <row r="6" spans="1:7" x14ac:dyDescent="0.35">
      <c r="A6" t="s">
        <v>19</v>
      </c>
      <c r="B6" t="s">
        <v>20</v>
      </c>
      <c r="C6" t="s">
        <v>21</v>
      </c>
      <c r="D6">
        <v>7700900005</v>
      </c>
      <c r="E6" t="s">
        <v>22</v>
      </c>
      <c r="F6" s="4">
        <v>200</v>
      </c>
      <c r="G6">
        <f>COUNTIF(DonorTable[DonorID],(A6))</f>
        <v>1</v>
      </c>
    </row>
    <row r="7" spans="1:7" x14ac:dyDescent="0.35">
      <c r="A7" t="s">
        <v>23</v>
      </c>
      <c r="B7" t="s">
        <v>24</v>
      </c>
      <c r="C7" t="s">
        <v>25</v>
      </c>
      <c r="D7">
        <v>7700900006</v>
      </c>
      <c r="E7" s="1">
        <v>45463</v>
      </c>
      <c r="F7" s="2">
        <v>30</v>
      </c>
      <c r="G7">
        <f>COUNTIF(DonorTable[DonorID],(A7))</f>
        <v>1</v>
      </c>
    </row>
    <row r="8" spans="1:7" x14ac:dyDescent="0.35">
      <c r="A8" t="s">
        <v>26</v>
      </c>
      <c r="B8" t="s">
        <v>27</v>
      </c>
      <c r="C8" t="s">
        <v>28</v>
      </c>
      <c r="D8">
        <v>7700900007</v>
      </c>
      <c r="E8" s="3">
        <v>45480</v>
      </c>
      <c r="F8" s="2">
        <v>150</v>
      </c>
      <c r="G8">
        <f>COUNTIF(DonorTable[DonorID],(A8))</f>
        <v>1</v>
      </c>
    </row>
    <row r="12" spans="1:7" x14ac:dyDescent="0.35">
      <c r="B12" t="str">
        <f>TRIM(PROPER(B2))</f>
        <v>Alice Morgan</v>
      </c>
      <c r="C12" t="str">
        <f>LOWER(TRIM(C2))</f>
        <v>alice.morgan@email.com</v>
      </c>
      <c r="D12" t="str">
        <f>SUBSTITUTE(D2," ", "")</f>
        <v>7700900001</v>
      </c>
      <c r="E12" s="6">
        <v>45303</v>
      </c>
      <c r="F12">
        <f>VALUE(SUBSTITUTE(F2, "£",""))</f>
        <v>50</v>
      </c>
    </row>
    <row r="13" spans="1:7" x14ac:dyDescent="0.35">
      <c r="B13" t="str">
        <f t="shared" ref="B13:B18" si="0">TRIM(PROPER(B3))</f>
        <v>Bob Harris</v>
      </c>
      <c r="C13" t="str">
        <f t="shared" ref="C13:C18" si="1">LOWER(TRIM(C3))</f>
        <v>bob.harris@email.com</v>
      </c>
      <c r="D13" t="str">
        <f t="shared" ref="D13:D18" si="2">SUBSTITUTE(D3," ", "")</f>
        <v>07700900002</v>
      </c>
      <c r="E13" s="5">
        <v>45325</v>
      </c>
      <c r="F13">
        <f t="shared" ref="F13:F18" si="3">VALUE(SUBSTITUTE(F3, "£",""))</f>
        <v>25</v>
      </c>
    </row>
    <row r="14" spans="1:7" x14ac:dyDescent="0.35">
      <c r="B14" t="str">
        <f t="shared" si="0"/>
        <v>Carol White</v>
      </c>
      <c r="C14" t="str">
        <f t="shared" si="1"/>
        <v>carol.white@email.com</v>
      </c>
      <c r="D14" t="str">
        <f t="shared" si="2"/>
        <v>7700900003</v>
      </c>
      <c r="E14" s="6">
        <v>45366</v>
      </c>
      <c r="F14">
        <f t="shared" si="3"/>
        <v>100</v>
      </c>
    </row>
    <row r="15" spans="1:7" x14ac:dyDescent="0.35">
      <c r="B15" t="str">
        <f t="shared" si="0"/>
        <v>David Chen</v>
      </c>
      <c r="C15" t="str">
        <f t="shared" si="1"/>
        <v>d.chen@email.com</v>
      </c>
      <c r="D15" t="str">
        <f t="shared" si="2"/>
        <v>7700900004</v>
      </c>
      <c r="E15" s="5">
        <v>45383</v>
      </c>
      <c r="F15">
        <f t="shared" si="3"/>
        <v>75</v>
      </c>
    </row>
    <row r="16" spans="1:7" x14ac:dyDescent="0.35">
      <c r="B16" t="str">
        <f t="shared" si="0"/>
        <v>Eve Johnson</v>
      </c>
      <c r="C16" t="str">
        <f t="shared" si="1"/>
        <v>eve.johnson@email.com</v>
      </c>
      <c r="D16" t="str">
        <f t="shared" si="2"/>
        <v>7700900005</v>
      </c>
      <c r="E16" s="6">
        <v>45417</v>
      </c>
      <c r="F16">
        <f t="shared" si="3"/>
        <v>200</v>
      </c>
    </row>
    <row r="17" spans="2:6" x14ac:dyDescent="0.35">
      <c r="B17" t="str">
        <f t="shared" si="0"/>
        <v>Frank Patel</v>
      </c>
      <c r="C17" t="str">
        <f t="shared" si="1"/>
        <v>frank.patel@email.com</v>
      </c>
      <c r="D17" t="str">
        <f t="shared" si="2"/>
        <v>7700900006</v>
      </c>
      <c r="E17" s="5">
        <v>45463</v>
      </c>
      <c r="F17">
        <f t="shared" si="3"/>
        <v>30</v>
      </c>
    </row>
    <row r="18" spans="2:6" x14ac:dyDescent="0.35">
      <c r="B18" t="str">
        <f t="shared" si="0"/>
        <v>Grace Obi</v>
      </c>
      <c r="C18" t="str">
        <f t="shared" si="1"/>
        <v>grace.obi@email.com</v>
      </c>
      <c r="D18" t="str">
        <f t="shared" si="2"/>
        <v>7700900007</v>
      </c>
      <c r="E18" s="6">
        <v>45480</v>
      </c>
      <c r="F18">
        <f t="shared" si="3"/>
        <v>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C13" sqref="C13"/>
    </sheetView>
  </sheetViews>
  <sheetFormatPr defaultRowHeight="14.5" x14ac:dyDescent="0.35"/>
  <sheetData>
    <row r="1" spans="1:1" x14ac:dyDescent="0.35">
      <c r="A1" t="s">
        <v>34</v>
      </c>
    </row>
    <row r="2" spans="1:1" x14ac:dyDescent="0.35">
      <c r="A2" t="s">
        <v>30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DonorTable</vt:lpstr>
      <vt:lpstr>Stage</vt:lpstr>
      <vt:lpstr>Notes</vt:lpstr>
      <vt:lpstr>DonorID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2026-07-15T15:26:28Z</dcterms:created>
  <dcterms:modified xsi:type="dcterms:W3CDTF">2026-07-17T02:33:30Z</dcterms:modified>
</cp:coreProperties>
</file>