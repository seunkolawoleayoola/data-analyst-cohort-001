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yool\OneDrive\Documents\data-analyst-cohort-001\datasets\"/>
    </mc:Choice>
  </mc:AlternateContent>
  <bookViews>
    <workbookView xWindow="0" yWindow="0" windowWidth="19200" windowHeight="7190" activeTab="3"/>
  </bookViews>
  <sheets>
    <sheet name="RawTransaction" sheetId="1" r:id="rId1"/>
    <sheet name="Tracker" sheetId="2" r:id="rId2"/>
    <sheet name="Notes" sheetId="3" r:id="rId3"/>
    <sheet name="Raw salesTransaction" sheetId="4" r:id="rId4"/>
    <sheet name="SalesTracker" sheetId="5" r:id="rId5"/>
    <sheet name="SalesNote" sheetId="6" r:id="rId6"/>
    <sheet name="RowPayroll" sheetId="7" r:id="rId7"/>
    <sheet name="PayTracker" sheetId="8" r:id="rId8"/>
    <sheet name="PayRollNotes" sheetId="9" r:id="rId9"/>
  </sheets>
  <definedNames>
    <definedName name="Reviewstatus">TransactionTable[Status]</definedName>
    <definedName name="TransactionAmont">TransactionTable[[#Headers],[Amount]]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8" l="1"/>
  <c r="J1" i="5" l="1"/>
  <c r="J2" i="2"/>
  <c r="J1" i="2" l="1"/>
</calcChain>
</file>

<file path=xl/sharedStrings.xml><?xml version="1.0" encoding="utf-8"?>
<sst xmlns="http://schemas.openxmlformats.org/spreadsheetml/2006/main" count="242" uniqueCount="82">
  <si>
    <t>TxnID</t>
  </si>
  <si>
    <t>Date</t>
  </si>
  <si>
    <t>Branch</t>
  </si>
  <si>
    <t>CustomerType</t>
  </si>
  <si>
    <t>Product</t>
  </si>
  <si>
    <t>Amount</t>
  </si>
  <si>
    <t>Status</t>
  </si>
  <si>
    <t>TXN001</t>
  </si>
  <si>
    <t>Manchester</t>
  </si>
  <si>
    <t>Personal</t>
  </si>
  <si>
    <t>Current account</t>
  </si>
  <si>
    <t>Completed</t>
  </si>
  <si>
    <t>TXN002</t>
  </si>
  <si>
    <t>Leeds</t>
  </si>
  <si>
    <t>Business</t>
  </si>
  <si>
    <t>Loan</t>
  </si>
  <si>
    <t>Pending</t>
  </si>
  <si>
    <t>TXN003</t>
  </si>
  <si>
    <t>Credit card</t>
  </si>
  <si>
    <t>TXN004</t>
  </si>
  <si>
    <t>Birmingham</t>
  </si>
  <si>
    <t>Merchant svcs</t>
  </si>
  <si>
    <t>Review</t>
  </si>
  <si>
    <t>TXN005</t>
  </si>
  <si>
    <t>Savings</t>
  </si>
  <si>
    <t>TXN006</t>
  </si>
  <si>
    <t>TXN007</t>
  </si>
  <si>
    <t>TXN008</t>
  </si>
  <si>
    <t>SaleID</t>
  </si>
  <si>
    <t>Store</t>
  </si>
  <si>
    <t>Category</t>
  </si>
  <si>
    <t>Revenue</t>
  </si>
  <si>
    <t>S001</t>
  </si>
  <si>
    <t>Southwark</t>
  </si>
  <si>
    <t>Dairy</t>
  </si>
  <si>
    <t>Whole milk</t>
  </si>
  <si>
    <t>Sold</t>
  </si>
  <si>
    <t>S002</t>
  </si>
  <si>
    <t>Croydon</t>
  </si>
  <si>
    <t>Bakery</t>
  </si>
  <si>
    <t>Sourdough</t>
  </si>
  <si>
    <t>S003</t>
  </si>
  <si>
    <t>Produce</t>
  </si>
  <si>
    <t>Apples</t>
  </si>
  <si>
    <t>S004</t>
  </si>
  <si>
    <t>Brixton</t>
  </si>
  <si>
    <t>Butter</t>
  </si>
  <si>
    <t>Returned</t>
  </si>
  <si>
    <t>S005</t>
  </si>
  <si>
    <t>Croissant</t>
  </si>
  <si>
    <t>S006</t>
  </si>
  <si>
    <t>Peckham</t>
  </si>
  <si>
    <t>Bananas</t>
  </si>
  <si>
    <t>S007</t>
  </si>
  <si>
    <t>Cheese</t>
  </si>
  <si>
    <t>S008</t>
  </si>
  <si>
    <t>Bread</t>
  </si>
  <si>
    <t>EmpID</t>
  </si>
  <si>
    <t>Name</t>
  </si>
  <si>
    <t>Department</t>
  </si>
  <si>
    <t>StartDate</t>
  </si>
  <si>
    <t>Salary</t>
  </si>
  <si>
    <t>E001</t>
  </si>
  <si>
    <t>sarah jones</t>
  </si>
  <si>
    <t>Operations</t>
  </si>
  <si>
    <t>Active</t>
  </si>
  <si>
    <t>E002</t>
  </si>
  <si>
    <t>DAVID SMITH</t>
  </si>
  <si>
    <t>Logistics</t>
  </si>
  <si>
    <t>active</t>
  </si>
  <si>
    <t>Sarah Jones</t>
  </si>
  <si>
    <t>E004</t>
  </si>
  <si>
    <t>Michael Brown</t>
  </si>
  <si>
    <t>Finance</t>
  </si>
  <si>
    <t>E005</t>
  </si>
  <si>
    <t>Emma Wilson</t>
  </si>
  <si>
    <t>E006</t>
  </si>
  <si>
    <t>James Taylor</t>
  </si>
  <si>
    <t>IT</t>
  </si>
  <si>
    <t>INACTIVE</t>
  </si>
  <si>
    <t>David Smith</t>
  </si>
  <si>
    <t>Inactive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</si>
</sst>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b/>
      <sz val="11"/>
      <name val="Segoe UI"/>
      <family val="2"/>
    </font>
    <font>
      <sz val="11"/>
      <name val="Calibri"/>
      <family val="2"/>
      <scheme val="minor"/>
    </font>
    <font>
      <sz val="1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AFAFA"/>
        <bgColor indexed="64"/>
      </patternFill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4" fontId="2" fillId="0" borderId="0" xfId="0" applyNumberFormat="1" applyFont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14" fontId="2" fillId="0" borderId="1" xfId="0" applyNumberFormat="1" applyFont="1" applyBorder="1" applyAlignment="1">
      <alignment horizontal="left" vertical="top" wrapText="1"/>
    </xf>
    <xf numFmtId="0" fontId="2" fillId="0" borderId="0" xfId="0" applyFont="1" applyBorder="1" applyAlignment="1">
      <alignment horizontal="left" vertical="top" wrapText="1"/>
    </xf>
    <xf numFmtId="14" fontId="2" fillId="0" borderId="0" xfId="0" applyNumberFormat="1" applyFont="1" applyBorder="1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14" fontId="2" fillId="2" borderId="0" xfId="0" applyNumberFormat="1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left" vertical="top" wrapText="1"/>
    </xf>
    <xf numFmtId="14" fontId="2" fillId="2" borderId="1" xfId="0" applyNumberFormat="1" applyFont="1" applyFill="1" applyBorder="1" applyAlignment="1">
      <alignment horizontal="left" vertical="top" wrapText="1"/>
    </xf>
    <xf numFmtId="0" fontId="3" fillId="2" borderId="0" xfId="0" applyFont="1" applyFill="1" applyAlignment="1">
      <alignment horizontal="left" vertical="top" wrapText="1"/>
    </xf>
    <xf numFmtId="0" fontId="4" fillId="0" borderId="0" xfId="0" applyFont="1"/>
    <xf numFmtId="0" fontId="5" fillId="2" borderId="0" xfId="0" applyFont="1" applyFill="1" applyAlignment="1">
      <alignment horizontal="left" vertical="top" wrapText="1"/>
    </xf>
    <xf numFmtId="14" fontId="5" fillId="2" borderId="0" xfId="0" applyNumberFormat="1" applyFont="1" applyFill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14" fontId="5" fillId="2" borderId="0" xfId="0" applyNumberFormat="1" applyFont="1" applyFill="1" applyBorder="1" applyAlignment="1">
      <alignment horizontal="left" vertical="top" wrapText="1"/>
    </xf>
  </cellXfs>
  <cellStyles count="1">
    <cellStyle name="Normal" xfId="0" builtinId="0"/>
  </cellStyles>
  <dxfs count="1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fill>
        <patternFill patternType="solid">
          <fgColor indexed="64"/>
          <bgColor rgb="FFFAFAFA"/>
        </patternFill>
      </fill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9" formatCode="dd/mm/yyyy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numFmt numFmtId="19" formatCode="dd/mm/yyyy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Segoe UI"/>
        <scheme val="none"/>
      </font>
      <alignment horizontal="left"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id="1" name="TransactionTable" displayName="TransactionTable" ref="A1:G9" totalsRowShown="0" headerRowDxfId="18" dataDxfId="17">
  <autoFilter ref="A1:G9"/>
  <sortState ref="A2:G9">
    <sortCondition descending="1" ref="F1:F9"/>
  </sortState>
  <tableColumns count="7">
    <tableColumn id="1" name="TxnID" dataDxfId="16"/>
    <tableColumn id="2" name="Date" dataDxfId="15"/>
    <tableColumn id="3" name="Branch" dataDxfId="14"/>
    <tableColumn id="4" name="CustomerType" dataDxfId="13"/>
    <tableColumn id="5" name="Product" dataDxfId="12"/>
    <tableColumn id="6" name="Amount" dataDxfId="11"/>
    <tableColumn id="7" name="Status" dataDxfId="1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ransactionTable4" displayName="TransactionTable4" ref="A1:G9" totalsRowShown="0" headerRowDxfId="9" dataDxfId="8">
  <autoFilter ref="A1:G9"/>
  <sortState ref="A2:G9">
    <sortCondition descending="1" ref="F1:F9"/>
  </sortState>
  <tableColumns count="7">
    <tableColumn id="1" name="SaleID" dataDxfId="7"/>
    <tableColumn id="2" name="Date" dataDxfId="6"/>
    <tableColumn id="3" name="Store" dataDxfId="5"/>
    <tableColumn id="4" name="Category" dataDxfId="4"/>
    <tableColumn id="5" name="Product" dataDxfId="3"/>
    <tableColumn id="6" name="Revenue" dataDxfId="2"/>
    <tableColumn id="7" name="Status" dataDxfId="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PayrollTransactionTable" displayName="PayrollTransactionTable" ref="A1:F6" totalsRowShown="0" headerRowDxfId="0">
  <autoFilter ref="A1:F6"/>
  <tableColumns count="6">
    <tableColumn id="1" name="EmpID"/>
    <tableColumn id="2" name="Name"/>
    <tableColumn id="3" name="Department"/>
    <tableColumn id="4" name="StartDate"/>
    <tableColumn id="5" name="Salary"/>
    <tableColumn id="6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D11" sqref="D11"/>
    </sheetView>
  </sheetViews>
  <sheetFormatPr defaultRowHeight="14.5" x14ac:dyDescent="0.35"/>
  <cols>
    <col min="1" max="1" width="12.1796875" customWidth="1"/>
    <col min="2" max="2" width="14.1796875" customWidth="1"/>
    <col min="3" max="3" width="13.453125" customWidth="1"/>
    <col min="4" max="4" width="11.08984375" customWidth="1"/>
    <col min="5" max="5" width="11.7265625" customWidth="1"/>
    <col min="6" max="6" width="11.453125" customWidth="1"/>
    <col min="7" max="7" width="11.54296875" customWidth="1"/>
  </cols>
  <sheetData>
    <row r="1" spans="1:7" ht="3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3" x14ac:dyDescent="0.35">
      <c r="A2" s="2" t="s">
        <v>7</v>
      </c>
      <c r="B2" s="3">
        <v>46174</v>
      </c>
      <c r="C2" s="2" t="s">
        <v>8</v>
      </c>
      <c r="D2" s="2" t="s">
        <v>9</v>
      </c>
      <c r="E2" s="2" t="s">
        <v>10</v>
      </c>
      <c r="F2" s="2">
        <v>1200</v>
      </c>
      <c r="G2" s="2" t="s">
        <v>11</v>
      </c>
    </row>
    <row r="3" spans="1:7" ht="16.5" x14ac:dyDescent="0.35">
      <c r="A3" s="2" t="s">
        <v>12</v>
      </c>
      <c r="B3" s="3">
        <v>46174</v>
      </c>
      <c r="C3" s="2" t="s">
        <v>13</v>
      </c>
      <c r="D3" s="2" t="s">
        <v>14</v>
      </c>
      <c r="E3" s="2" t="s">
        <v>15</v>
      </c>
      <c r="F3" s="2">
        <v>8500</v>
      </c>
      <c r="G3" s="2" t="s">
        <v>16</v>
      </c>
    </row>
    <row r="4" spans="1:7" ht="33" x14ac:dyDescent="0.35">
      <c r="A4" s="2" t="s">
        <v>17</v>
      </c>
      <c r="B4" s="3">
        <v>46175</v>
      </c>
      <c r="C4" s="2" t="s">
        <v>8</v>
      </c>
      <c r="D4" s="2" t="s">
        <v>9</v>
      </c>
      <c r="E4" s="2" t="s">
        <v>18</v>
      </c>
      <c r="F4" s="2">
        <v>430</v>
      </c>
      <c r="G4" s="2" t="s">
        <v>11</v>
      </c>
    </row>
    <row r="5" spans="1:7" ht="33" x14ac:dyDescent="0.35">
      <c r="A5" s="2" t="s">
        <v>19</v>
      </c>
      <c r="B5" s="3">
        <v>46176</v>
      </c>
      <c r="C5" s="2" t="s">
        <v>20</v>
      </c>
      <c r="D5" s="2" t="s">
        <v>14</v>
      </c>
      <c r="E5" s="2" t="s">
        <v>21</v>
      </c>
      <c r="F5" s="2">
        <v>2600</v>
      </c>
      <c r="G5" s="2" t="s">
        <v>22</v>
      </c>
    </row>
    <row r="6" spans="1:7" ht="33" x14ac:dyDescent="0.35">
      <c r="A6" s="2" t="s">
        <v>23</v>
      </c>
      <c r="B6" s="3">
        <v>46176</v>
      </c>
      <c r="C6" s="2" t="s">
        <v>13</v>
      </c>
      <c r="D6" s="2" t="s">
        <v>9</v>
      </c>
      <c r="E6" s="2" t="s">
        <v>24</v>
      </c>
      <c r="F6" s="2">
        <v>700</v>
      </c>
      <c r="G6" s="2" t="s">
        <v>11</v>
      </c>
    </row>
    <row r="7" spans="1:7" ht="33" x14ac:dyDescent="0.35">
      <c r="A7" s="2" t="s">
        <v>25</v>
      </c>
      <c r="B7" s="3">
        <v>46177</v>
      </c>
      <c r="C7" s="2" t="s">
        <v>20</v>
      </c>
      <c r="D7" s="2" t="s">
        <v>9</v>
      </c>
      <c r="E7" s="2" t="s">
        <v>10</v>
      </c>
      <c r="F7" s="2">
        <v>980</v>
      </c>
      <c r="G7" s="2" t="s">
        <v>16</v>
      </c>
    </row>
    <row r="8" spans="1:7" ht="17" thickBot="1" x14ac:dyDescent="0.4">
      <c r="A8" s="2" t="s">
        <v>26</v>
      </c>
      <c r="B8" s="3">
        <v>46177</v>
      </c>
      <c r="C8" s="2" t="s">
        <v>8</v>
      </c>
      <c r="D8" s="2" t="s">
        <v>14</v>
      </c>
      <c r="E8" s="2" t="s">
        <v>15</v>
      </c>
      <c r="F8" s="2">
        <v>12500</v>
      </c>
      <c r="G8" s="2" t="s">
        <v>11</v>
      </c>
    </row>
    <row r="9" spans="1:7" ht="16.5" x14ac:dyDescent="0.35">
      <c r="A9" s="4" t="s">
        <v>27</v>
      </c>
      <c r="B9" s="5">
        <v>46178</v>
      </c>
      <c r="C9" s="4" t="s">
        <v>13</v>
      </c>
      <c r="D9" s="4" t="s">
        <v>14</v>
      </c>
      <c r="E9" s="4" t="s">
        <v>24</v>
      </c>
      <c r="F9" s="4">
        <v>3100</v>
      </c>
      <c r="G9" s="4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opLeftCell="C1" workbookViewId="0">
      <selection activeCell="F1" sqref="F1"/>
    </sheetView>
  </sheetViews>
  <sheetFormatPr defaultRowHeight="14.5" x14ac:dyDescent="0.35"/>
  <cols>
    <col min="1" max="1" width="12.1796875" customWidth="1"/>
    <col min="2" max="2" width="14.1796875" customWidth="1"/>
    <col min="3" max="3" width="13.453125" customWidth="1"/>
    <col min="4" max="4" width="16.54296875" customWidth="1"/>
    <col min="5" max="5" width="11.7265625" customWidth="1"/>
    <col min="6" max="6" width="11.453125" customWidth="1"/>
    <col min="7" max="7" width="11.54296875" customWidth="1"/>
  </cols>
  <sheetData>
    <row r="1" spans="1:10" ht="16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J1">
        <f>SUM(F2:F9)</f>
        <v>30010</v>
      </c>
    </row>
    <row r="2" spans="1:10" ht="16.5" x14ac:dyDescent="0.35">
      <c r="A2" s="2" t="s">
        <v>26</v>
      </c>
      <c r="B2" s="3">
        <v>46177</v>
      </c>
      <c r="C2" s="2" t="s">
        <v>8</v>
      </c>
      <c r="D2" s="2" t="s">
        <v>14</v>
      </c>
      <c r="E2" s="2" t="s">
        <v>15</v>
      </c>
      <c r="F2" s="2">
        <v>12500</v>
      </c>
      <c r="G2" s="2" t="s">
        <v>11</v>
      </c>
      <c r="J2">
        <f>SUM(TransactionTable[Amount])</f>
        <v>30010</v>
      </c>
    </row>
    <row r="3" spans="1:10" ht="16.5" x14ac:dyDescent="0.35">
      <c r="A3" s="2" t="s">
        <v>12</v>
      </c>
      <c r="B3" s="3">
        <v>46174</v>
      </c>
      <c r="C3" s="2" t="s">
        <v>13</v>
      </c>
      <c r="D3" s="2" t="s">
        <v>14</v>
      </c>
      <c r="E3" s="2" t="s">
        <v>15</v>
      </c>
      <c r="F3" s="2">
        <v>8500</v>
      </c>
      <c r="G3" s="2" t="s">
        <v>16</v>
      </c>
    </row>
    <row r="4" spans="1:10" ht="16.5" x14ac:dyDescent="0.35">
      <c r="A4" s="6" t="s">
        <v>27</v>
      </c>
      <c r="B4" s="7">
        <v>46178</v>
      </c>
      <c r="C4" s="6" t="s">
        <v>13</v>
      </c>
      <c r="D4" s="6" t="s">
        <v>14</v>
      </c>
      <c r="E4" s="6" t="s">
        <v>24</v>
      </c>
      <c r="F4" s="6">
        <v>3100</v>
      </c>
      <c r="G4" s="6" t="s">
        <v>22</v>
      </c>
    </row>
    <row r="5" spans="1:10" ht="33" x14ac:dyDescent="0.35">
      <c r="A5" s="2" t="s">
        <v>19</v>
      </c>
      <c r="B5" s="3">
        <v>46176</v>
      </c>
      <c r="C5" s="2" t="s">
        <v>20</v>
      </c>
      <c r="D5" s="2" t="s">
        <v>14</v>
      </c>
      <c r="E5" s="2" t="s">
        <v>21</v>
      </c>
      <c r="F5" s="2">
        <v>2600</v>
      </c>
      <c r="G5" s="2" t="s">
        <v>22</v>
      </c>
    </row>
    <row r="6" spans="1:10" ht="33" x14ac:dyDescent="0.35">
      <c r="A6" s="2" t="s">
        <v>7</v>
      </c>
      <c r="B6" s="3">
        <v>46174</v>
      </c>
      <c r="C6" s="2" t="s">
        <v>8</v>
      </c>
      <c r="D6" s="2" t="s">
        <v>9</v>
      </c>
      <c r="E6" s="2" t="s">
        <v>10</v>
      </c>
      <c r="F6" s="2">
        <v>1200</v>
      </c>
      <c r="G6" s="2" t="s">
        <v>11</v>
      </c>
    </row>
    <row r="7" spans="1:10" ht="33" x14ac:dyDescent="0.35">
      <c r="A7" s="2" t="s">
        <v>25</v>
      </c>
      <c r="B7" s="3">
        <v>46177</v>
      </c>
      <c r="C7" s="2" t="s">
        <v>20</v>
      </c>
      <c r="D7" s="2" t="s">
        <v>9</v>
      </c>
      <c r="E7" s="2" t="s">
        <v>10</v>
      </c>
      <c r="F7" s="2">
        <v>980</v>
      </c>
      <c r="G7" s="2" t="s">
        <v>16</v>
      </c>
    </row>
    <row r="8" spans="1:10" ht="17" thickBot="1" x14ac:dyDescent="0.4">
      <c r="A8" s="2" t="s">
        <v>23</v>
      </c>
      <c r="B8" s="3">
        <v>46176</v>
      </c>
      <c r="C8" s="2" t="s">
        <v>13</v>
      </c>
      <c r="D8" s="2" t="s">
        <v>9</v>
      </c>
      <c r="E8" s="2" t="s">
        <v>24</v>
      </c>
      <c r="F8" s="2">
        <v>700</v>
      </c>
      <c r="G8" s="2" t="s">
        <v>11</v>
      </c>
    </row>
    <row r="9" spans="1:10" ht="16.5" x14ac:dyDescent="0.35">
      <c r="A9" s="4" t="s">
        <v>17</v>
      </c>
      <c r="B9" s="5">
        <v>46175</v>
      </c>
      <c r="C9" s="4" t="s">
        <v>8</v>
      </c>
      <c r="D9" s="4" t="s">
        <v>9</v>
      </c>
      <c r="E9" s="4" t="s">
        <v>18</v>
      </c>
      <c r="F9" s="4">
        <v>430</v>
      </c>
      <c r="G9" s="4" t="s">
        <v>11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tabSelected="1" workbookViewId="0">
      <selection activeCell="G17" sqref="G17"/>
    </sheetView>
  </sheetViews>
  <sheetFormatPr defaultRowHeight="14.5" x14ac:dyDescent="0.35"/>
  <cols>
    <col min="1" max="1" width="13.54296875" customWidth="1"/>
    <col min="2" max="2" width="15.453125" customWidth="1"/>
    <col min="3" max="3" width="13.1796875" customWidth="1"/>
    <col min="4" max="4" width="12" customWidth="1"/>
    <col min="5" max="5" width="12.453125" customWidth="1"/>
    <col min="6" max="6" width="10.81640625" customWidth="1"/>
    <col min="7" max="7" width="11.08984375" customWidth="1"/>
  </cols>
  <sheetData>
    <row r="1" spans="1:7" ht="16.5" x14ac:dyDescent="0.35">
      <c r="A1" s="1" t="s">
        <v>28</v>
      </c>
      <c r="B1" s="1" t="s">
        <v>1</v>
      </c>
      <c r="C1" s="1" t="s">
        <v>29</v>
      </c>
      <c r="D1" s="1" t="s">
        <v>30</v>
      </c>
      <c r="E1" s="1" t="s">
        <v>4</v>
      </c>
      <c r="F1" s="1" t="s">
        <v>31</v>
      </c>
      <c r="G1" s="1" t="s">
        <v>6</v>
      </c>
    </row>
    <row r="2" spans="1:7" ht="16.5" x14ac:dyDescent="0.35">
      <c r="A2" s="2" t="s">
        <v>32</v>
      </c>
      <c r="B2" s="3">
        <v>46174</v>
      </c>
      <c r="C2" s="2" t="s">
        <v>33</v>
      </c>
      <c r="D2" s="2" t="s">
        <v>34</v>
      </c>
      <c r="E2" s="2" t="s">
        <v>35</v>
      </c>
      <c r="F2" s="2">
        <v>96</v>
      </c>
      <c r="G2" s="2" t="s">
        <v>36</v>
      </c>
    </row>
    <row r="3" spans="1:7" ht="16.5" x14ac:dyDescent="0.35">
      <c r="A3" s="2" t="s">
        <v>37</v>
      </c>
      <c r="B3" s="3">
        <v>46174</v>
      </c>
      <c r="C3" s="2" t="s">
        <v>38</v>
      </c>
      <c r="D3" s="2" t="s">
        <v>39</v>
      </c>
      <c r="E3" s="2" t="s">
        <v>40</v>
      </c>
      <c r="F3" s="2">
        <v>112</v>
      </c>
      <c r="G3" s="2" t="s">
        <v>36</v>
      </c>
    </row>
    <row r="4" spans="1:7" ht="16.5" x14ac:dyDescent="0.35">
      <c r="A4" s="2" t="s">
        <v>41</v>
      </c>
      <c r="B4" s="3">
        <v>46175</v>
      </c>
      <c r="C4" s="2" t="s">
        <v>33</v>
      </c>
      <c r="D4" s="2" t="s">
        <v>42</v>
      </c>
      <c r="E4" s="2" t="s">
        <v>43</v>
      </c>
      <c r="F4" s="2">
        <v>150</v>
      </c>
      <c r="G4" s="2" t="s">
        <v>36</v>
      </c>
    </row>
    <row r="5" spans="1:7" ht="16.5" x14ac:dyDescent="0.35">
      <c r="A5" s="2" t="s">
        <v>44</v>
      </c>
      <c r="B5" s="3">
        <v>46175</v>
      </c>
      <c r="C5" s="2" t="s">
        <v>45</v>
      </c>
      <c r="D5" s="2" t="s">
        <v>34</v>
      </c>
      <c r="E5" s="2" t="s">
        <v>46</v>
      </c>
      <c r="F5" s="2">
        <v>200</v>
      </c>
      <c r="G5" s="2" t="s">
        <v>47</v>
      </c>
    </row>
    <row r="6" spans="1:7" ht="16.5" x14ac:dyDescent="0.35">
      <c r="A6" s="2" t="s">
        <v>48</v>
      </c>
      <c r="B6" s="3">
        <v>46176</v>
      </c>
      <c r="C6" s="2" t="s">
        <v>38</v>
      </c>
      <c r="D6" s="2" t="s">
        <v>39</v>
      </c>
      <c r="E6" s="2" t="s">
        <v>49</v>
      </c>
      <c r="F6" s="2">
        <v>90</v>
      </c>
      <c r="G6" s="2" t="s">
        <v>36</v>
      </c>
    </row>
    <row r="7" spans="1:7" ht="16.5" x14ac:dyDescent="0.35">
      <c r="A7" s="2" t="s">
        <v>50</v>
      </c>
      <c r="B7" s="3">
        <v>46176</v>
      </c>
      <c r="C7" s="2" t="s">
        <v>51</v>
      </c>
      <c r="D7" s="2" t="s">
        <v>42</v>
      </c>
      <c r="E7" s="2" t="s">
        <v>52</v>
      </c>
      <c r="F7" s="2">
        <v>120</v>
      </c>
      <c r="G7" s="2" t="s">
        <v>36</v>
      </c>
    </row>
    <row r="8" spans="1:7" ht="17" thickBot="1" x14ac:dyDescent="0.4">
      <c r="A8" s="2" t="s">
        <v>53</v>
      </c>
      <c r="B8" s="3">
        <v>46177</v>
      </c>
      <c r="C8" s="2" t="s">
        <v>33</v>
      </c>
      <c r="D8" s="2" t="s">
        <v>34</v>
      </c>
      <c r="E8" s="2" t="s">
        <v>54</v>
      </c>
      <c r="F8" s="2">
        <v>275</v>
      </c>
      <c r="G8" s="2" t="s">
        <v>36</v>
      </c>
    </row>
    <row r="9" spans="1:7" ht="16.5" x14ac:dyDescent="0.35">
      <c r="A9" s="4" t="s">
        <v>55</v>
      </c>
      <c r="B9" s="5">
        <v>46177</v>
      </c>
      <c r="C9" s="4" t="s">
        <v>45</v>
      </c>
      <c r="D9" s="4" t="s">
        <v>39</v>
      </c>
      <c r="E9" s="4" t="s">
        <v>56</v>
      </c>
      <c r="F9" s="4">
        <v>135</v>
      </c>
      <c r="G9" s="4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workbookViewId="0">
      <selection activeCell="A2" sqref="A2:G9"/>
    </sheetView>
  </sheetViews>
  <sheetFormatPr defaultRowHeight="14.5" x14ac:dyDescent="0.35"/>
  <cols>
    <col min="1" max="1" width="13.54296875" customWidth="1"/>
    <col min="2" max="2" width="15.453125" customWidth="1"/>
    <col min="3" max="3" width="13.1796875" customWidth="1"/>
    <col min="4" max="4" width="12" customWidth="1"/>
    <col min="5" max="5" width="12.453125" customWidth="1"/>
    <col min="6" max="6" width="10.81640625" customWidth="1"/>
    <col min="7" max="7" width="11.08984375" customWidth="1"/>
  </cols>
  <sheetData>
    <row r="1" spans="1:10" ht="16.5" x14ac:dyDescent="0.35">
      <c r="A1" s="1" t="s">
        <v>28</v>
      </c>
      <c r="B1" s="1" t="s">
        <v>1</v>
      </c>
      <c r="C1" s="1" t="s">
        <v>29</v>
      </c>
      <c r="D1" s="1" t="s">
        <v>30</v>
      </c>
      <c r="E1" s="1" t="s">
        <v>4</v>
      </c>
      <c r="F1" s="1" t="s">
        <v>31</v>
      </c>
      <c r="G1" s="1" t="s">
        <v>6</v>
      </c>
      <c r="J1">
        <f>SUM(TransactionTable4[Revenue])</f>
        <v>1178</v>
      </c>
    </row>
    <row r="2" spans="1:10" ht="16.5" x14ac:dyDescent="0.35">
      <c r="A2" s="2" t="s">
        <v>53</v>
      </c>
      <c r="B2" s="3">
        <v>46177</v>
      </c>
      <c r="C2" s="2" t="s">
        <v>33</v>
      </c>
      <c r="D2" s="2" t="s">
        <v>34</v>
      </c>
      <c r="E2" s="2" t="s">
        <v>54</v>
      </c>
      <c r="F2" s="2">
        <v>275</v>
      </c>
      <c r="G2" s="2" t="s">
        <v>36</v>
      </c>
    </row>
    <row r="3" spans="1:10" ht="16.5" x14ac:dyDescent="0.35">
      <c r="A3" s="2" t="s">
        <v>44</v>
      </c>
      <c r="B3" s="3">
        <v>46175</v>
      </c>
      <c r="C3" s="2" t="s">
        <v>45</v>
      </c>
      <c r="D3" s="2" t="s">
        <v>34</v>
      </c>
      <c r="E3" s="2" t="s">
        <v>46</v>
      </c>
      <c r="F3" s="2">
        <v>200</v>
      </c>
      <c r="G3" s="2" t="s">
        <v>47</v>
      </c>
    </row>
    <row r="4" spans="1:10" ht="16.5" x14ac:dyDescent="0.35">
      <c r="A4" s="2" t="s">
        <v>41</v>
      </c>
      <c r="B4" s="3">
        <v>46175</v>
      </c>
      <c r="C4" s="2" t="s">
        <v>33</v>
      </c>
      <c r="D4" s="2" t="s">
        <v>42</v>
      </c>
      <c r="E4" s="2" t="s">
        <v>43</v>
      </c>
      <c r="F4" s="2">
        <v>150</v>
      </c>
      <c r="G4" s="2" t="s">
        <v>36</v>
      </c>
    </row>
    <row r="5" spans="1:10" ht="16.5" x14ac:dyDescent="0.35">
      <c r="A5" s="6" t="s">
        <v>55</v>
      </c>
      <c r="B5" s="7">
        <v>46177</v>
      </c>
      <c r="C5" s="6" t="s">
        <v>45</v>
      </c>
      <c r="D5" s="6" t="s">
        <v>39</v>
      </c>
      <c r="E5" s="6" t="s">
        <v>56</v>
      </c>
      <c r="F5" s="6">
        <v>135</v>
      </c>
      <c r="G5" s="6" t="s">
        <v>16</v>
      </c>
    </row>
    <row r="6" spans="1:10" ht="16.5" x14ac:dyDescent="0.35">
      <c r="A6" s="2" t="s">
        <v>50</v>
      </c>
      <c r="B6" s="3">
        <v>46176</v>
      </c>
      <c r="C6" s="2" t="s">
        <v>51</v>
      </c>
      <c r="D6" s="2" t="s">
        <v>42</v>
      </c>
      <c r="E6" s="2" t="s">
        <v>52</v>
      </c>
      <c r="F6" s="2">
        <v>120</v>
      </c>
      <c r="G6" s="2" t="s">
        <v>36</v>
      </c>
    </row>
    <row r="7" spans="1:10" ht="16.5" x14ac:dyDescent="0.35">
      <c r="A7" s="2" t="s">
        <v>37</v>
      </c>
      <c r="B7" s="3">
        <v>46174</v>
      </c>
      <c r="C7" s="2" t="s">
        <v>38</v>
      </c>
      <c r="D7" s="2" t="s">
        <v>39</v>
      </c>
      <c r="E7" s="2" t="s">
        <v>40</v>
      </c>
      <c r="F7" s="2">
        <v>112</v>
      </c>
      <c r="G7" s="2" t="s">
        <v>36</v>
      </c>
    </row>
    <row r="8" spans="1:10" ht="16.5" x14ac:dyDescent="0.35">
      <c r="A8" s="2" t="s">
        <v>32</v>
      </c>
      <c r="B8" s="3">
        <v>46174</v>
      </c>
      <c r="C8" s="2" t="s">
        <v>33</v>
      </c>
      <c r="D8" s="2" t="s">
        <v>34</v>
      </c>
      <c r="E8" s="2" t="s">
        <v>35</v>
      </c>
      <c r="F8" s="2">
        <v>96</v>
      </c>
      <c r="G8" s="2" t="s">
        <v>36</v>
      </c>
    </row>
    <row r="9" spans="1:10" ht="16.5" x14ac:dyDescent="0.35">
      <c r="A9" s="4" t="s">
        <v>48</v>
      </c>
      <c r="B9" s="5">
        <v>46176</v>
      </c>
      <c r="C9" s="4" t="s">
        <v>38</v>
      </c>
      <c r="D9" s="4" t="s">
        <v>39</v>
      </c>
      <c r="E9" s="4" t="s">
        <v>49</v>
      </c>
      <c r="F9" s="4">
        <v>90</v>
      </c>
      <c r="G9" s="4" t="s">
        <v>36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H4" sqref="H4"/>
    </sheetView>
  </sheetViews>
  <sheetFormatPr defaultRowHeight="14.5" x14ac:dyDescent="0.35"/>
  <cols>
    <col min="1" max="1" width="10.81640625" customWidth="1"/>
    <col min="2" max="2" width="12.26953125" customWidth="1"/>
    <col min="3" max="3" width="14.453125" customWidth="1"/>
    <col min="4" max="4" width="12.26953125" customWidth="1"/>
    <col min="5" max="5" width="11.90625" customWidth="1"/>
  </cols>
  <sheetData>
    <row r="1" spans="1:6" ht="33" x14ac:dyDescent="0.35">
      <c r="A1" s="8" t="s">
        <v>57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</v>
      </c>
    </row>
    <row r="2" spans="1:6" ht="33" x14ac:dyDescent="0.35">
      <c r="A2" s="9" t="s">
        <v>62</v>
      </c>
      <c r="B2" s="9" t="s">
        <v>63</v>
      </c>
      <c r="C2" s="9" t="s">
        <v>64</v>
      </c>
      <c r="D2" s="10">
        <v>45000</v>
      </c>
      <c r="E2" s="9">
        <v>32000</v>
      </c>
      <c r="F2" s="9" t="s">
        <v>65</v>
      </c>
    </row>
    <row r="3" spans="1:6" ht="33" x14ac:dyDescent="0.35">
      <c r="A3" s="9" t="s">
        <v>66</v>
      </c>
      <c r="B3" s="9" t="s">
        <v>67</v>
      </c>
      <c r="C3" s="9" t="s">
        <v>68</v>
      </c>
      <c r="D3" s="10">
        <v>44301</v>
      </c>
      <c r="E3" s="9">
        <v>28500</v>
      </c>
      <c r="F3" s="9" t="s">
        <v>69</v>
      </c>
    </row>
    <row r="4" spans="1:6" ht="33" x14ac:dyDescent="0.35">
      <c r="A4" s="9" t="s">
        <v>62</v>
      </c>
      <c r="B4" s="9" t="s">
        <v>70</v>
      </c>
      <c r="C4" s="9" t="s">
        <v>64</v>
      </c>
      <c r="D4" s="10">
        <v>45000</v>
      </c>
      <c r="E4" s="9">
        <v>32000</v>
      </c>
      <c r="F4" s="9" t="s">
        <v>65</v>
      </c>
    </row>
    <row r="5" spans="1:6" ht="33" x14ac:dyDescent="0.35">
      <c r="A5" s="9" t="s">
        <v>71</v>
      </c>
      <c r="B5" s="9" t="s">
        <v>72</v>
      </c>
      <c r="C5" s="9" t="s">
        <v>73</v>
      </c>
      <c r="D5" s="10">
        <v>44743</v>
      </c>
      <c r="E5" s="9">
        <v>-45000</v>
      </c>
      <c r="F5" s="9" t="s">
        <v>65</v>
      </c>
    </row>
    <row r="6" spans="1:6" ht="33.5" thickBot="1" x14ac:dyDescent="0.4">
      <c r="A6" s="9" t="s">
        <v>74</v>
      </c>
      <c r="B6" s="9" t="s">
        <v>75</v>
      </c>
      <c r="C6" s="9"/>
      <c r="D6" s="10">
        <v>44520</v>
      </c>
      <c r="E6" s="9">
        <v>38000</v>
      </c>
      <c r="F6" s="9" t="s">
        <v>65</v>
      </c>
    </row>
    <row r="7" spans="1:6" ht="33" x14ac:dyDescent="0.35">
      <c r="A7" s="11" t="s">
        <v>76</v>
      </c>
      <c r="B7" s="11" t="s">
        <v>77</v>
      </c>
      <c r="C7" s="11" t="s">
        <v>78</v>
      </c>
      <c r="D7" s="12">
        <v>45299</v>
      </c>
      <c r="E7" s="11">
        <v>41000</v>
      </c>
      <c r="F7" s="11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A2" sqref="A2:F6"/>
    </sheetView>
  </sheetViews>
  <sheetFormatPr defaultRowHeight="14.5" x14ac:dyDescent="0.35"/>
  <cols>
    <col min="1" max="1" width="14.54296875" customWidth="1"/>
    <col min="2" max="2" width="15.08984375" customWidth="1"/>
    <col min="3" max="3" width="15.1796875" customWidth="1"/>
    <col min="4" max="4" width="13.90625" customWidth="1"/>
    <col min="5" max="5" width="11.08984375" customWidth="1"/>
    <col min="6" max="6" width="10.7265625" customWidth="1"/>
  </cols>
  <sheetData>
    <row r="1" spans="1:8" s="14" customFormat="1" ht="33" x14ac:dyDescent="0.35">
      <c r="A1" s="13" t="s">
        <v>57</v>
      </c>
      <c r="B1" s="13" t="s">
        <v>58</v>
      </c>
      <c r="C1" s="13" t="s">
        <v>59</v>
      </c>
      <c r="D1" s="13" t="s">
        <v>60</v>
      </c>
      <c r="E1" s="13" t="s">
        <v>61</v>
      </c>
      <c r="F1" s="13" t="s">
        <v>6</v>
      </c>
    </row>
    <row r="2" spans="1:8" s="14" customFormat="1" ht="33" x14ac:dyDescent="0.35">
      <c r="A2" s="15" t="s">
        <v>62</v>
      </c>
      <c r="B2" s="15" t="s">
        <v>70</v>
      </c>
      <c r="C2" s="15" t="s">
        <v>64</v>
      </c>
      <c r="D2" s="16">
        <v>45000</v>
      </c>
      <c r="E2" s="15">
        <v>32000</v>
      </c>
      <c r="F2" s="15" t="s">
        <v>65</v>
      </c>
    </row>
    <row r="3" spans="1:8" s="14" customFormat="1" ht="33" x14ac:dyDescent="0.35">
      <c r="A3" s="15" t="s">
        <v>66</v>
      </c>
      <c r="B3" s="15" t="s">
        <v>80</v>
      </c>
      <c r="C3" s="15" t="s">
        <v>68</v>
      </c>
      <c r="D3" s="16">
        <v>44301</v>
      </c>
      <c r="E3" s="15">
        <v>28500</v>
      </c>
      <c r="F3" s="15" t="s">
        <v>65</v>
      </c>
      <c r="H3" s="14">
        <f>COUNTA(A:A)-1</f>
        <v>5</v>
      </c>
    </row>
    <row r="4" spans="1:8" s="14" customFormat="1" ht="33" x14ac:dyDescent="0.35">
      <c r="A4" s="15" t="s">
        <v>71</v>
      </c>
      <c r="B4" s="15" t="s">
        <v>72</v>
      </c>
      <c r="C4" s="15" t="s">
        <v>73</v>
      </c>
      <c r="D4" s="16">
        <v>44743</v>
      </c>
      <c r="E4" s="15">
        <v>-45000</v>
      </c>
      <c r="F4" s="15" t="s">
        <v>65</v>
      </c>
    </row>
    <row r="5" spans="1:8" s="14" customFormat="1" ht="33" x14ac:dyDescent="0.35">
      <c r="A5" s="15" t="s">
        <v>74</v>
      </c>
      <c r="B5" s="15" t="s">
        <v>75</v>
      </c>
      <c r="C5" s="15"/>
      <c r="D5" s="16">
        <v>44520</v>
      </c>
      <c r="E5" s="15">
        <v>38000</v>
      </c>
      <c r="F5" s="15" t="s">
        <v>65</v>
      </c>
    </row>
    <row r="6" spans="1:8" s="14" customFormat="1" ht="33" x14ac:dyDescent="0.35">
      <c r="A6" s="17" t="s">
        <v>76</v>
      </c>
      <c r="B6" s="17" t="s">
        <v>77</v>
      </c>
      <c r="C6" s="17" t="s">
        <v>78</v>
      </c>
      <c r="D6" s="18">
        <v>45299</v>
      </c>
      <c r="E6" s="17">
        <v>41000</v>
      </c>
      <c r="F6" s="17" t="s">
        <v>81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RawTransaction</vt:lpstr>
      <vt:lpstr>Tracker</vt:lpstr>
      <vt:lpstr>Notes</vt:lpstr>
      <vt:lpstr>Raw salesTransaction</vt:lpstr>
      <vt:lpstr>SalesTracker</vt:lpstr>
      <vt:lpstr>SalesNote</vt:lpstr>
      <vt:lpstr>RowPayroll</vt:lpstr>
      <vt:lpstr>PayTracker</vt:lpstr>
      <vt:lpstr>PayRollNotes</vt:lpstr>
      <vt:lpstr>Reviewstatus</vt:lpstr>
      <vt:lpstr>TransactionAmont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Seun Ayoola</dc:creator>
  <cp:lastModifiedBy>Seun Ayoola</cp:lastModifiedBy>
  <dcterms:created xsi:type="dcterms:W3CDTF">2026-06-24T17:17:38Z</dcterms:created>
  <dcterms:modified xsi:type="dcterms:W3CDTF">2026-07-02T23:08:39Z</dcterms:modified>
</cp:coreProperties>
</file>