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ool\OneDrive\Documents\data-analyst-cohort-001\datasets\"/>
    </mc:Choice>
  </mc:AlternateContent>
  <bookViews>
    <workbookView xWindow="0" yWindow="0" windowWidth="19200" windowHeight="7190" activeTab="1"/>
  </bookViews>
  <sheets>
    <sheet name="RawDeliveries" sheetId="1" r:id="rId1"/>
    <sheet name="DeliveriesTracker" sheetId="4" r:id="rId2"/>
    <sheet name="DeliveriesNotes" sheetId="3" r:id="rId3"/>
  </sheets>
  <definedNames>
    <definedName name="DeleiveriesValue">#REF!</definedName>
    <definedName name="DeliveriesTrackerValue">DeliveriesTable[[#Headers],[Value]]</definedName>
    <definedName name="DeliveriesValue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4" l="1"/>
  <c r="J2" i="4"/>
  <c r="H2" i="4"/>
  <c r="I4" i="4"/>
  <c r="I3" i="4"/>
  <c r="I2" i="4"/>
  <c r="I9" i="4" l="1"/>
</calcChain>
</file>

<file path=xl/sharedStrings.xml><?xml version="1.0" encoding="utf-8"?>
<sst xmlns="http://schemas.openxmlformats.org/spreadsheetml/2006/main" count="94" uniqueCount="26">
  <si>
    <t>OrderID</t>
  </si>
  <si>
    <t>Date</t>
  </si>
  <si>
    <t>Hub</t>
  </si>
  <si>
    <t>CustomerType</t>
  </si>
  <si>
    <t>DeliveryType</t>
  </si>
  <si>
    <t>Value</t>
  </si>
  <si>
    <t>Status</t>
  </si>
  <si>
    <t>ORD001</t>
  </si>
  <si>
    <t>North</t>
  </si>
  <si>
    <t>B2B</t>
  </si>
  <si>
    <t>Express</t>
  </si>
  <si>
    <t>Delivered</t>
  </si>
  <si>
    <t>ORD002</t>
  </si>
  <si>
    <t>South</t>
  </si>
  <si>
    <t>B2C</t>
  </si>
  <si>
    <t>Standard</t>
  </si>
  <si>
    <t>ORD003</t>
  </si>
  <si>
    <t>East</t>
  </si>
  <si>
    <t>Delayed</t>
  </si>
  <si>
    <t>ORD004</t>
  </si>
  <si>
    <t>West</t>
  </si>
  <si>
    <t>ORD005</t>
  </si>
  <si>
    <t>Failed</t>
  </si>
  <si>
    <t>ORD006</t>
  </si>
  <si>
    <t>ORD007</t>
  </si>
  <si>
    <t>ORD008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</si>
</sst>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7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14" fontId="3" fillId="2" borderId="0" xfId="0" applyNumberFormat="1" applyFont="1" applyFill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14" fontId="3" fillId="2" borderId="1" xfId="0" applyNumberFormat="1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14" fontId="5" fillId="2" borderId="0" xfId="0" applyNumberFormat="1" applyFont="1" applyFill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14" fontId="5" fillId="2" borderId="0" xfId="0" applyNumberFormat="1" applyFont="1" applyFill="1" applyBorder="1" applyAlignment="1">
      <alignment horizontal="left" vertical="top" wrapText="1"/>
    </xf>
    <xf numFmtId="0" fontId="0" fillId="0" borderId="0" xfId="0" applyBorder="1"/>
    <xf numFmtId="0" fontId="6" fillId="0" borderId="0" xfId="0" applyFont="1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fill>
        <patternFill patternType="solid">
          <fgColor indexed="64"/>
          <bgColor rgb="FFFAFAFA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fill>
        <patternFill patternType="solid">
          <fgColor indexed="64"/>
          <bgColor rgb="FFFAFAFA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fill>
        <patternFill patternType="solid">
          <fgColor indexed="64"/>
          <bgColor rgb="FFFAFAFA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fill>
        <patternFill patternType="solid">
          <fgColor indexed="64"/>
          <bgColor rgb="FFFAFAFA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fill>
        <patternFill patternType="solid">
          <fgColor indexed="64"/>
          <bgColor rgb="FFFAFAFA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numFmt numFmtId="19" formatCode="dd/mm/yyyy"/>
      <fill>
        <patternFill patternType="solid">
          <fgColor indexed="64"/>
          <bgColor rgb="FFFAFAFA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fill>
        <patternFill patternType="solid">
          <fgColor indexed="64"/>
          <bgColor rgb="FFFAFAFA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fill>
        <patternFill patternType="solid">
          <fgColor indexed="64"/>
          <bgColor rgb="FFFAFAFA"/>
        </patternFill>
      </fill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fill>
        <patternFill patternType="solid">
          <fgColor indexed="64"/>
          <bgColor rgb="FFFAFAFA"/>
        </patternFill>
      </fill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DeliveriesTable" displayName="DeliveriesTable" ref="A1:G9" totalsRowShown="0" headerRowDxfId="8" dataDxfId="7">
  <autoFilter ref="A1:G9"/>
  <sortState ref="A2:G9">
    <sortCondition descending="1" ref="F1:F9"/>
  </sortState>
  <tableColumns count="7">
    <tableColumn id="1" name="OrderID" dataDxfId="6"/>
    <tableColumn id="2" name="Date" dataDxfId="5"/>
    <tableColumn id="3" name="Hub" dataDxfId="4"/>
    <tableColumn id="4" name="CustomerType" dataDxfId="3"/>
    <tableColumn id="5" name="DeliveryType" dataDxfId="2"/>
    <tableColumn id="6" name="Value" dataDxfId="1"/>
    <tableColumn id="7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sqref="A1:XFD9"/>
    </sheetView>
  </sheetViews>
  <sheetFormatPr defaultRowHeight="14.5" x14ac:dyDescent="0.35"/>
  <cols>
    <col min="1" max="1" width="13.26953125" customWidth="1"/>
    <col min="2" max="2" width="13.7265625" customWidth="1"/>
    <col min="3" max="3" width="9.08984375" customWidth="1"/>
    <col min="4" max="4" width="14.81640625" customWidth="1"/>
    <col min="5" max="5" width="13.453125" customWidth="1"/>
    <col min="6" max="6" width="11.453125" customWidth="1"/>
    <col min="7" max="7" width="12.453125" customWidth="1"/>
  </cols>
  <sheetData>
    <row r="1" spans="1:7" ht="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 x14ac:dyDescent="0.35">
      <c r="A2" s="2" t="s">
        <v>7</v>
      </c>
      <c r="B2" s="3">
        <v>46174</v>
      </c>
      <c r="C2" s="2" t="s">
        <v>8</v>
      </c>
      <c r="D2" s="2" t="s">
        <v>9</v>
      </c>
      <c r="E2" s="2" t="s">
        <v>10</v>
      </c>
      <c r="F2" s="2">
        <v>4200</v>
      </c>
      <c r="G2" s="2" t="s">
        <v>11</v>
      </c>
    </row>
    <row r="3" spans="1:7" ht="33" x14ac:dyDescent="0.35">
      <c r="A3" s="2" t="s">
        <v>12</v>
      </c>
      <c r="B3" s="3">
        <v>46174</v>
      </c>
      <c r="C3" s="2" t="s">
        <v>13</v>
      </c>
      <c r="D3" s="2" t="s">
        <v>14</v>
      </c>
      <c r="E3" s="2" t="s">
        <v>15</v>
      </c>
      <c r="F3" s="2">
        <v>85</v>
      </c>
      <c r="G3" s="2" t="s">
        <v>11</v>
      </c>
    </row>
    <row r="4" spans="1:7" ht="16.5" x14ac:dyDescent="0.35">
      <c r="A4" s="2" t="s">
        <v>16</v>
      </c>
      <c r="B4" s="3">
        <v>46175</v>
      </c>
      <c r="C4" s="2" t="s">
        <v>17</v>
      </c>
      <c r="D4" s="2" t="s">
        <v>9</v>
      </c>
      <c r="E4" s="2" t="s">
        <v>15</v>
      </c>
      <c r="F4" s="2">
        <v>1800</v>
      </c>
      <c r="G4" s="2" t="s">
        <v>18</v>
      </c>
    </row>
    <row r="5" spans="1:7" ht="33" x14ac:dyDescent="0.35">
      <c r="A5" s="2" t="s">
        <v>19</v>
      </c>
      <c r="B5" s="3">
        <v>46175</v>
      </c>
      <c r="C5" s="2" t="s">
        <v>20</v>
      </c>
      <c r="D5" s="2" t="s">
        <v>14</v>
      </c>
      <c r="E5" s="2" t="s">
        <v>10</v>
      </c>
      <c r="F5" s="2">
        <v>340</v>
      </c>
      <c r="G5" s="2" t="s">
        <v>11</v>
      </c>
    </row>
    <row r="6" spans="1:7" ht="16.5" x14ac:dyDescent="0.35">
      <c r="A6" s="2" t="s">
        <v>21</v>
      </c>
      <c r="B6" s="3">
        <v>46176</v>
      </c>
      <c r="C6" s="2" t="s">
        <v>8</v>
      </c>
      <c r="D6" s="2" t="s">
        <v>14</v>
      </c>
      <c r="E6" s="2" t="s">
        <v>15</v>
      </c>
      <c r="F6" s="2">
        <v>120</v>
      </c>
      <c r="G6" s="2" t="s">
        <v>22</v>
      </c>
    </row>
    <row r="7" spans="1:7" ht="33" x14ac:dyDescent="0.35">
      <c r="A7" s="2" t="s">
        <v>23</v>
      </c>
      <c r="B7" s="3">
        <v>46176</v>
      </c>
      <c r="C7" s="2" t="s">
        <v>13</v>
      </c>
      <c r="D7" s="2" t="s">
        <v>9</v>
      </c>
      <c r="E7" s="2" t="s">
        <v>10</v>
      </c>
      <c r="F7" s="2">
        <v>7600</v>
      </c>
      <c r="G7" s="2" t="s">
        <v>11</v>
      </c>
    </row>
    <row r="8" spans="1:7" ht="17" thickBot="1" x14ac:dyDescent="0.4">
      <c r="A8" s="2" t="s">
        <v>24</v>
      </c>
      <c r="B8" s="3">
        <v>46177</v>
      </c>
      <c r="C8" s="2" t="s">
        <v>17</v>
      </c>
      <c r="D8" s="2" t="s">
        <v>14</v>
      </c>
      <c r="E8" s="2" t="s">
        <v>15</v>
      </c>
      <c r="F8" s="2">
        <v>95</v>
      </c>
      <c r="G8" s="2" t="s">
        <v>18</v>
      </c>
    </row>
    <row r="9" spans="1:7" ht="33" x14ac:dyDescent="0.35">
      <c r="A9" s="4" t="s">
        <v>25</v>
      </c>
      <c r="B9" s="5">
        <v>46177</v>
      </c>
      <c r="C9" s="4" t="s">
        <v>20</v>
      </c>
      <c r="D9" s="4" t="s">
        <v>9</v>
      </c>
      <c r="E9" s="4" t="s">
        <v>10</v>
      </c>
      <c r="F9" s="4">
        <v>2900</v>
      </c>
      <c r="G9" s="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F13" sqref="F13"/>
    </sheetView>
  </sheetViews>
  <sheetFormatPr defaultRowHeight="14.5" x14ac:dyDescent="0.35"/>
  <cols>
    <col min="1" max="1" width="14.6328125" customWidth="1"/>
    <col min="2" max="2" width="13.08984375" customWidth="1"/>
    <col min="3" max="3" width="10.90625" customWidth="1"/>
    <col min="4" max="4" width="17.6328125" customWidth="1"/>
    <col min="5" max="5" width="15.1796875" customWidth="1"/>
    <col min="6" max="6" width="9.90625" customWidth="1"/>
    <col min="7" max="7" width="12.6328125" customWidth="1"/>
  </cols>
  <sheetData>
    <row r="1" spans="1:10" ht="16.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10" ht="16.5" x14ac:dyDescent="0.35">
      <c r="A2" s="7" t="s">
        <v>23</v>
      </c>
      <c r="B2" s="8">
        <v>46176</v>
      </c>
      <c r="C2" s="7" t="s">
        <v>13</v>
      </c>
      <c r="D2" s="7" t="s">
        <v>9</v>
      </c>
      <c r="E2" s="7" t="s">
        <v>10</v>
      </c>
      <c r="F2" s="7">
        <v>7600</v>
      </c>
      <c r="G2" s="7" t="s">
        <v>11</v>
      </c>
      <c r="H2">
        <f>SUMIF(DeliveriesTable[Hub], "South", DeliveriesTable[Value])</f>
        <v>7685</v>
      </c>
      <c r="I2" s="13">
        <f>COUNTIF(DeliveriesTable[Status], "Delivered")/ COUNTA(DeliveriesTable[Status])</f>
        <v>0.625</v>
      </c>
      <c r="J2">
        <f>AVERAGEIF(DeliveriesTable[CustomerType], "B2B", DeliveriesTable[Value])</f>
        <v>4125</v>
      </c>
    </row>
    <row r="3" spans="1:10" ht="16.5" x14ac:dyDescent="0.35">
      <c r="A3" s="7" t="s">
        <v>7</v>
      </c>
      <c r="B3" s="8">
        <v>46174</v>
      </c>
      <c r="C3" s="7" t="s">
        <v>8</v>
      </c>
      <c r="D3" s="7" t="s">
        <v>9</v>
      </c>
      <c r="E3" s="7" t="s">
        <v>10</v>
      </c>
      <c r="F3" s="7">
        <v>4200</v>
      </c>
      <c r="G3" s="7" t="s">
        <v>11</v>
      </c>
      <c r="I3" s="13">
        <f>COUNTIF(DeliveriesTable[Status], "Delayed")/ COUNTA(DeliveriesTable[Status])</f>
        <v>0.25</v>
      </c>
    </row>
    <row r="4" spans="1:10" ht="16.5" x14ac:dyDescent="0.35">
      <c r="A4" s="9" t="s">
        <v>25</v>
      </c>
      <c r="B4" s="10">
        <v>46177</v>
      </c>
      <c r="C4" s="9" t="s">
        <v>20</v>
      </c>
      <c r="D4" s="9" t="s">
        <v>9</v>
      </c>
      <c r="E4" s="9" t="s">
        <v>10</v>
      </c>
      <c r="F4" s="9">
        <v>2900</v>
      </c>
      <c r="G4" s="9" t="s">
        <v>11</v>
      </c>
      <c r="I4" s="13">
        <f>COUNTIF(DeliveriesTable[Status], "failed")/ COUNTA(DeliveriesTable[Status])</f>
        <v>0.125</v>
      </c>
    </row>
    <row r="5" spans="1:10" ht="16.5" x14ac:dyDescent="0.35">
      <c r="A5" s="7" t="s">
        <v>16</v>
      </c>
      <c r="B5" s="8">
        <v>46175</v>
      </c>
      <c r="C5" s="7" t="s">
        <v>17</v>
      </c>
      <c r="D5" s="7" t="s">
        <v>9</v>
      </c>
      <c r="E5" s="7" t="s">
        <v>15</v>
      </c>
      <c r="F5" s="7">
        <v>1800</v>
      </c>
      <c r="G5" s="7" t="s">
        <v>18</v>
      </c>
      <c r="J5">
        <f>AVERAGEIF(DeliveriesTable[CustomerType], "B2C", DeliveriesTable[Value])</f>
        <v>160</v>
      </c>
    </row>
    <row r="6" spans="1:10" ht="16.5" x14ac:dyDescent="0.35">
      <c r="A6" s="7" t="s">
        <v>19</v>
      </c>
      <c r="B6" s="8">
        <v>46175</v>
      </c>
      <c r="C6" s="7" t="s">
        <v>20</v>
      </c>
      <c r="D6" s="7" t="s">
        <v>14</v>
      </c>
      <c r="E6" s="7" t="s">
        <v>10</v>
      </c>
      <c r="F6" s="7">
        <v>340</v>
      </c>
      <c r="G6" s="7" t="s">
        <v>11</v>
      </c>
    </row>
    <row r="7" spans="1:10" ht="16.5" x14ac:dyDescent="0.35">
      <c r="A7" s="7" t="s">
        <v>21</v>
      </c>
      <c r="B7" s="8">
        <v>46176</v>
      </c>
      <c r="C7" s="7" t="s">
        <v>8</v>
      </c>
      <c r="D7" s="7" t="s">
        <v>14</v>
      </c>
      <c r="E7" s="7" t="s">
        <v>15</v>
      </c>
      <c r="F7" s="7">
        <v>120</v>
      </c>
      <c r="G7" s="7" t="s">
        <v>22</v>
      </c>
      <c r="J7" s="12"/>
    </row>
    <row r="8" spans="1:10" ht="16.5" x14ac:dyDescent="0.35">
      <c r="A8" s="7" t="s">
        <v>24</v>
      </c>
      <c r="B8" s="8">
        <v>46177</v>
      </c>
      <c r="C8" s="7" t="s">
        <v>17</v>
      </c>
      <c r="D8" s="7" t="s">
        <v>14</v>
      </c>
      <c r="E8" s="7" t="s">
        <v>15</v>
      </c>
      <c r="F8" s="7">
        <v>95</v>
      </c>
      <c r="G8" s="7" t="s">
        <v>18</v>
      </c>
    </row>
    <row r="9" spans="1:10" s="11" customFormat="1" ht="16.5" x14ac:dyDescent="0.35">
      <c r="A9" s="7" t="s">
        <v>12</v>
      </c>
      <c r="B9" s="8">
        <v>46174</v>
      </c>
      <c r="C9" s="7" t="s">
        <v>13</v>
      </c>
      <c r="D9" s="7" t="s">
        <v>14</v>
      </c>
      <c r="E9" s="7" t="s">
        <v>15</v>
      </c>
      <c r="F9" s="7">
        <v>85</v>
      </c>
      <c r="G9" s="7" t="s">
        <v>11</v>
      </c>
      <c r="I9" s="14">
        <f>SUM(I2,I3,I4)</f>
        <v>1</v>
      </c>
    </row>
    <row r="12" spans="1:10" x14ac:dyDescent="0.35">
      <c r="J12" s="1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RawDeliveries</vt:lpstr>
      <vt:lpstr>DeliveriesTracker</vt:lpstr>
      <vt:lpstr>DeliveriesNotes</vt:lpstr>
      <vt:lpstr>DeliveriesTrackerValue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 Ayoola</dc:creator>
  <cp:lastModifiedBy>Seun Ayoola</cp:lastModifiedBy>
  <dcterms:created xsi:type="dcterms:W3CDTF">2026-06-29T15:03:58Z</dcterms:created>
  <dcterms:modified xsi:type="dcterms:W3CDTF">2026-06-30T19:18:43Z</dcterms:modified>
</cp:coreProperties>
</file>