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8440" activeTab="2"/>
  </bookViews>
  <sheets>
    <sheet name="PatientData" sheetId="3" r:id="rId1"/>
    <sheet name="Stage" sheetId="2" r:id="rId2"/>
    <sheet name="Summaryblock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1" i="1"/>
</calcChain>
</file>

<file path=xl/sharedStrings.xml><?xml version="1.0" encoding="utf-8"?>
<sst xmlns="http://schemas.openxmlformats.org/spreadsheetml/2006/main" count="44" uniqueCount="32">
  <si>
    <t>Question: calculate mean, median, standard deviation, and identify outliers for 8 patients, then explain in one paragraph what the numbers mean for patient care</t>
  </si>
  <si>
    <t xml:space="preserve">statistical family: center cluster and spreed </t>
  </si>
  <si>
    <t>calculate: mean, median, standard deviation and identify outliers.</t>
  </si>
  <si>
    <t xml:space="preserve">Median: 0.8, 1.1, 1.2, 1.5,  1.8, 2.5, 3.1, 8.0 </t>
  </si>
  <si>
    <t>Median: 1.5+1.8/2 = 1.65h</t>
  </si>
  <si>
    <t>Mean: 20/8 =2.50h</t>
  </si>
  <si>
    <t>Mean: 1.2+0.8+2.5+1.5+1.8+8.0+1.1+3.1/8 = 20/8</t>
  </si>
  <si>
    <t>PatientID</t>
  </si>
  <si>
    <t>WaitTime_h</t>
  </si>
  <si>
    <t>Staff</t>
  </si>
  <si>
    <t>Acuity</t>
  </si>
  <si>
    <t>P001</t>
  </si>
  <si>
    <t>P002</t>
  </si>
  <si>
    <t>P003</t>
  </si>
  <si>
    <t>P004</t>
  </si>
  <si>
    <t>P005</t>
  </si>
  <si>
    <t>P006</t>
  </si>
  <si>
    <t>P007</t>
  </si>
  <si>
    <t>P008</t>
  </si>
  <si>
    <t>STDEV:</t>
  </si>
  <si>
    <t>Average:</t>
  </si>
  <si>
    <r>
      <t>Interpreting the result:</t>
    </r>
    <r>
      <rPr>
        <sz val="11"/>
        <color theme="1"/>
        <rFont val="Calibri"/>
        <family val="2"/>
      </rPr>
      <t> When SD (2.35) is larger than the mean (2.50), it means the data is spread very widely. In this case, most patients wait under 2 hours but one waited 8 hours — the SD is enormous because of that single outlier.</t>
    </r>
  </si>
  <si>
    <t>OutlierFlag</t>
  </si>
  <si>
    <t>Q1= (n+1)*1/4</t>
  </si>
  <si>
    <t>Q1=(8+1)*1/4 = 2.25</t>
  </si>
  <si>
    <t>Q2= (n+1)*2/4</t>
  </si>
  <si>
    <t>Q2= (8+1)*2/4 = 4.5</t>
  </si>
  <si>
    <t>Q3= (n+1)*3/4</t>
  </si>
  <si>
    <t>Q3= (8+1)*3/4 = 6.75</t>
  </si>
  <si>
    <t>Lower fencing: Q1-(1.5*IQR[Q2])</t>
  </si>
  <si>
    <t>2.25-(1.5*4.5)</t>
  </si>
  <si>
    <t>2.25-6.75 = -4.5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</si>
</sst>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atientData" displayName="PatientData" ref="A1:E9" totalsRowShown="0">
  <autoFilter ref="A1:E9"/>
  <tableColumns count="5">
    <tableColumn id="1" name="PatientID"/>
    <tableColumn id="2" name="WaitTime_h"/>
    <tableColumn id="3" name="Staff"/>
    <tableColumn id="4" name="Acuity"/>
    <tableColumn id="5" name="Outlier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16" sqref="D16"/>
    </sheetView>
  </sheetViews>
  <sheetFormatPr defaultRowHeight="14.5" x14ac:dyDescent="0.35"/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t="s">
        <v>11</v>
      </c>
      <c r="B2">
        <v>1.2</v>
      </c>
      <c r="C2">
        <v>8</v>
      </c>
      <c r="D2">
        <v>3</v>
      </c>
    </row>
    <row r="3" spans="1:4" x14ac:dyDescent="0.35">
      <c r="A3" t="s">
        <v>12</v>
      </c>
      <c r="B3">
        <v>0.8</v>
      </c>
      <c r="C3">
        <v>9</v>
      </c>
      <c r="D3">
        <v>2</v>
      </c>
    </row>
    <row r="4" spans="1:4" x14ac:dyDescent="0.35">
      <c r="A4" t="s">
        <v>13</v>
      </c>
      <c r="B4">
        <v>2.5</v>
      </c>
      <c r="C4">
        <v>6</v>
      </c>
      <c r="D4">
        <v>4</v>
      </c>
    </row>
    <row r="5" spans="1:4" x14ac:dyDescent="0.35">
      <c r="A5" t="s">
        <v>14</v>
      </c>
      <c r="B5">
        <v>1.5</v>
      </c>
      <c r="C5">
        <v>7</v>
      </c>
      <c r="D5">
        <v>3</v>
      </c>
    </row>
    <row r="6" spans="1:4" x14ac:dyDescent="0.35">
      <c r="A6" t="s">
        <v>15</v>
      </c>
      <c r="B6">
        <v>1.8</v>
      </c>
      <c r="C6">
        <v>7</v>
      </c>
      <c r="D6">
        <v>4</v>
      </c>
    </row>
    <row r="7" spans="1:4" x14ac:dyDescent="0.35">
      <c r="A7" t="s">
        <v>16</v>
      </c>
      <c r="B7">
        <v>8</v>
      </c>
      <c r="C7">
        <v>4</v>
      </c>
      <c r="D7">
        <v>5</v>
      </c>
    </row>
    <row r="8" spans="1:4" x14ac:dyDescent="0.35">
      <c r="A8" t="s">
        <v>17</v>
      </c>
      <c r="B8">
        <v>1.1000000000000001</v>
      </c>
      <c r="C8">
        <v>9</v>
      </c>
      <c r="D8">
        <v>2</v>
      </c>
    </row>
    <row r="9" spans="1:4" x14ac:dyDescent="0.35">
      <c r="A9" t="s">
        <v>18</v>
      </c>
      <c r="B9">
        <v>3.1</v>
      </c>
      <c r="C9">
        <v>5</v>
      </c>
      <c r="D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H14" sqref="H14"/>
    </sheetView>
  </sheetViews>
  <sheetFormatPr defaultRowHeight="14.5" x14ac:dyDescent="0.35"/>
  <cols>
    <col min="1" max="1" width="10.7265625" customWidth="1"/>
    <col min="2" max="2" width="13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22</v>
      </c>
    </row>
    <row r="2" spans="1:5" x14ac:dyDescent="0.35">
      <c r="A2" t="s">
        <v>11</v>
      </c>
      <c r="B2">
        <v>1.2</v>
      </c>
      <c r="C2">
        <v>8</v>
      </c>
      <c r="D2">
        <v>3</v>
      </c>
    </row>
    <row r="3" spans="1:5" x14ac:dyDescent="0.35">
      <c r="A3" t="s">
        <v>12</v>
      </c>
      <c r="B3">
        <v>0.8</v>
      </c>
      <c r="C3">
        <v>9</v>
      </c>
      <c r="D3">
        <v>2</v>
      </c>
    </row>
    <row r="4" spans="1:5" x14ac:dyDescent="0.35">
      <c r="A4" t="s">
        <v>13</v>
      </c>
      <c r="B4">
        <v>2.5</v>
      </c>
      <c r="C4">
        <v>6</v>
      </c>
      <c r="D4">
        <v>4</v>
      </c>
    </row>
    <row r="5" spans="1:5" x14ac:dyDescent="0.35">
      <c r="A5" t="s">
        <v>14</v>
      </c>
      <c r="B5">
        <v>1.5</v>
      </c>
      <c r="C5">
        <v>7</v>
      </c>
      <c r="D5">
        <v>3</v>
      </c>
    </row>
    <row r="6" spans="1:5" x14ac:dyDescent="0.35">
      <c r="A6" t="s">
        <v>15</v>
      </c>
      <c r="B6">
        <v>1.8</v>
      </c>
      <c r="C6">
        <v>7</v>
      </c>
      <c r="D6">
        <v>4</v>
      </c>
    </row>
    <row r="7" spans="1:5" x14ac:dyDescent="0.35">
      <c r="A7" t="s">
        <v>16</v>
      </c>
      <c r="B7">
        <v>8</v>
      </c>
      <c r="C7">
        <v>4</v>
      </c>
      <c r="D7">
        <v>5</v>
      </c>
    </row>
    <row r="8" spans="1:5" x14ac:dyDescent="0.35">
      <c r="A8" t="s">
        <v>17</v>
      </c>
      <c r="B8">
        <v>1.1000000000000001</v>
      </c>
      <c r="C8">
        <v>9</v>
      </c>
      <c r="D8">
        <v>2</v>
      </c>
    </row>
    <row r="9" spans="1:5" x14ac:dyDescent="0.35">
      <c r="A9" t="s">
        <v>18</v>
      </c>
      <c r="B9">
        <v>3.1</v>
      </c>
      <c r="C9">
        <v>5</v>
      </c>
      <c r="D9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3" workbookViewId="0">
      <selection activeCell="C26" activeCellId="1" sqref="F24 C26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5" spans="1:2" x14ac:dyDescent="0.35">
      <c r="A5" t="s">
        <v>6</v>
      </c>
    </row>
    <row r="6" spans="1:2" x14ac:dyDescent="0.35">
      <c r="A6" t="s">
        <v>5</v>
      </c>
    </row>
    <row r="8" spans="1:2" x14ac:dyDescent="0.35">
      <c r="A8" t="s">
        <v>3</v>
      </c>
    </row>
    <row r="9" spans="1:2" x14ac:dyDescent="0.35">
      <c r="A9" t="s">
        <v>4</v>
      </c>
    </row>
    <row r="11" spans="1:2" x14ac:dyDescent="0.35">
      <c r="A11" t="s">
        <v>20</v>
      </c>
      <c r="B11">
        <f>AVERAGE(PatientData[WaitTime_h])</f>
        <v>2.5000000000000004</v>
      </c>
    </row>
    <row r="13" spans="1:2" x14ac:dyDescent="0.35">
      <c r="A13" t="s">
        <v>19</v>
      </c>
      <c r="B13">
        <f>STDEV(PatientData[WaitTime_h])</f>
        <v>2.3494680248941453</v>
      </c>
    </row>
    <row r="15" spans="1:2" s="1" customFormat="1" x14ac:dyDescent="0.35">
      <c r="A15" s="2" t="s">
        <v>21</v>
      </c>
    </row>
    <row r="19" spans="1:5" x14ac:dyDescent="0.35">
      <c r="A19" t="s">
        <v>23</v>
      </c>
      <c r="D19" t="s">
        <v>29</v>
      </c>
    </row>
    <row r="20" spans="1:5" x14ac:dyDescent="0.35">
      <c r="A20" t="s">
        <v>24</v>
      </c>
      <c r="E20" t="s">
        <v>30</v>
      </c>
    </row>
    <row r="21" spans="1:5" x14ac:dyDescent="0.35">
      <c r="E21" t="s">
        <v>31</v>
      </c>
    </row>
    <row r="22" spans="1:5" x14ac:dyDescent="0.35">
      <c r="A22" t="s">
        <v>25</v>
      </c>
    </row>
    <row r="23" spans="1:5" x14ac:dyDescent="0.35">
      <c r="A23" t="s">
        <v>26</v>
      </c>
    </row>
    <row r="25" spans="1:5" x14ac:dyDescent="0.35">
      <c r="A25" t="s">
        <v>27</v>
      </c>
    </row>
    <row r="26" spans="1:5" x14ac:dyDescent="0.35">
      <c r="A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PatientData</vt:lpstr>
      <vt:lpstr>Stage</vt:lpstr>
      <vt:lpstr>Summaryblock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2026-08-05T04:58:42Z</dcterms:created>
  <dcterms:modified xsi:type="dcterms:W3CDTF">2026-08-06T19:22:52Z</dcterms:modified>
</cp:coreProperties>
</file>